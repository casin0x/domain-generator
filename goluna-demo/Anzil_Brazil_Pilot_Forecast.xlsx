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st Forecast" sheetId="1" state="visible" r:id="rId3"/>
    <sheet name="Revenue Targets" sheetId="2" state="visible" r:id="rId4"/>
    <sheet name="P&amp;L Cascade" sheetId="3" state="visible" r:id="rId5"/>
    <sheet name="Fees at Scale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<sst xmlns="http://schemas.openxmlformats.org/spreadsheetml/2006/main" count="199" uniqueCount="175">
  <si>
    <t xml:space="preserve">GoLuna — Path C (Anzil) Month-by-Month Cost Forecast (USD)</t>
  </si>
  <si>
    <t xml:space="preserve">Anzil engagement hard-capped at $100K over the 3-month pilot (M2–M4) · 1M SEK dedicated to Brazil/Anzil · influencer activation removed from Anzil scope · Clipping $25K (M2 prepay) runs via a separate vendor outside the cap · M2 kill checkpoint. Benchmarks, not GoLuna-measured data — verify at M4.</t>
  </si>
  <si>
    <t xml:space="preserve">Assumptions</t>
  </si>
  <si>
    <t xml:space="preserve">FX (SEK per USD)</t>
  </si>
  <si>
    <t xml:space="preserve">Working budget (2.5M SEK, USD)</t>
  </si>
  <si>
    <t xml:space="preserve">Brazil/Anzil envelope (1M SEK, USD)</t>
  </si>
  <si>
    <t xml:space="preserve">Anzil management fee (% of media)</t>
  </si>
  <si>
    <t xml:space="preserve">Anzil contract hard cap (USD)</t>
  </si>
  <si>
    <t xml:space="preserve">Line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</si>
  <si>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</si>
  <si>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</si>
  <si>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</si>
  <si>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</si>
  <si>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</si>
  <si>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</si>
  <si>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</si>
  <si>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</si>
  <si>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</si>
  <si>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</si>
  <si>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</si>
  <si>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</si>
  <si>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Total</t>
  </si>
  <si>
    <t xml:space="preserve">Salaries (T+O+G)</t>
  </si>
  <si>
    <t xml:space="preserve">X VIP Transfer Method</t>
  </si>
  <si>
    <t xml:space="preserve">Cubeia AWS hosting</t>
  </si>
  <si>
    <t xml:space="preserve">Customer.io (Cubeia App. B)</t>
  </si>
  <si>
    <t xml:space="preserve">Freshchat (Cubeia App. B)</t>
  </si>
  <si>
    <t xml:space="preserve">Cubeia platform min (from M7)</t>
  </si>
  <si>
    <t xml:space="preserve">Security stack subs</t>
  </si>
  <si>
    <t xml:space="preserve">Claude Max</t>
  </si>
  <si>
    <t xml:space="preserve">Security stack — hardware (one-time)</t>
  </si>
  <si>
    <t xml:space="preserve">Costa Rica corp (2026)</t>
  </si>
  <si>
    <t xml:space="preserve">Designer (casino design)</t>
  </si>
  <si>
    <t xml:space="preserve">Betby setup (sportsbook)</t>
  </si>
  <si>
    <t xml:space="preserve">Other subscriptions</t>
  </si>
  <si>
    <t xml:space="preserve">Clipping (content/streamer campaign · prepaid M2 · separate vendor, not Anzil)</t>
  </si>
  <si>
    <t xml:space="preserve">Anzil setup (€3K, one-time, M1)</t>
  </si>
  <si>
    <t xml:space="preserve">Anzil retainer (€1.5K/mo, M2–M4)</t>
  </si>
  <si>
    <t xml:space="preserve">Anzil media — Meta+WhatsApp (M2–M4)</t>
  </si>
  <si>
    <t xml:space="preserve">Anzil management (15% of media)</t>
  </si>
  <si>
    <t xml:space="preserve">MARKETING — monthly total (Anzil + clipping)</t>
  </si>
  <si>
    <t xml:space="preserve">GoLuna fixed — monthly total (salaries, platform, security, one-times)</t>
  </si>
  <si>
    <t xml:space="preserve">Monthly total (fixed + marketing)</t>
  </si>
  <si>
    <t xml:space="preserve">Cumulative</t>
  </si>
  <si>
    <t xml:space="preserve">Operating budget remaining (vs 2.5M SEK)</t>
  </si>
  <si>
    <t xml:space="preserve">Anzil engagement summary</t>
  </si>
  <si>
    <t xml:space="preserve">Anzil committed total (setup + retainer + media + mgmt)</t>
  </si>
  <si>
    <t xml:space="preserve">Brazil/Anzil envelope (1M SEK)</t>
  </si>
  <si>
    <t xml:space="preserve">Headroom vs envelope (WhatsApp/PIX fees, TBD)</t>
  </si>
  <si>
    <t xml:space="preserve">Contract hard cap</t>
  </si>
  <si>
    <t xml:space="preserve">Headroom vs hard cap</t>
  </si>
  <si>
    <t xml:space="preserve">Sunk if cut at M2 checkpoint (setup + M2 retainer/media/mgmt)</t>
  </si>
  <si>
    <t xml:space="preserve">Never deployed if cut at M2</t>
  </si>
  <si>
    <t xml:space="preserve">Paid if cut after 2 live months (end of M3)</t>
  </si>
  <si>
    <t xml:space="preserve">Clipping campaign (separate vendor — outside the Anzil cap and 1M SEK envelope; funded from the experiments pot)</t>
  </si>
  <si>
    <t xml:space="preserve">Not in this sheet (and why)</t>
  </si>
  <si>
    <t xml:space="preserve">• Player bonuses &amp; incentives (welcome / reload / cashback ≈ 25% of GGR) — variable cost, scales with revenue: deducted on the Revenue Targets sheet (GGR → NGR → net contribution).</t>
  </si>
  <si>
    <t xml:space="preserve">• Game-provider / Cubeia 5% / crypto / PIX fees — also % of GGR, inside the 51.5% net-contribution margin on the Revenue Targets sheet.</t>
  </si>
  <si>
    <t xml:space="preserve">• Promotional pool (community giveaways — $4K/mo M2–M4 in Paths A/B) — NOT budgeted for Path C; add ~$12K if the Anzil pilot should run community incentives too.</t>
  </si>
  <si>
    <t xml:space="preserve">• WhatsApp per-message + Anzil payments fees — volume-tiered, TBD at integration; covered by the cap headroom.</t>
  </si>
  <si>
    <t xml:space="preserve">• Bankroll 500K SEK (~$48K) — held separately for player withdrawals, not an operating cost.</t>
  </si>
  <si>
    <t xml:space="preserve">GoLuna — Path C Revenue Targets by Month (what to optimize for)</t>
  </si>
  <si>
    <t xml:space="preserve">NEED = ~28% retention (the break-even line: M4-exit run-rate covers the M7+ fixed burn). OPTIMIZE = ~39% retention (the flywheel compounds). Basis: ARPU $30/mo (Brazil regulated avg), CAC $20 (Anzil quote), net contribution 51.5% of GGR (incl. ~5% high-estimate PIX fee). Market benchmarks, not GoLuna data — recalibrate with real cohorts at M2–M3.</t>
  </si>
  <si>
    <t xml:space="preserve">ARPU (GGR / active / month)</t>
  </si>
  <si>
    <t xml:space="preserve">CAC per FTD (Anzil quote $12–25)</t>
  </si>
  <si>
    <t xml:space="preserve">NGR (GGR − bonuses 25%)</t>
  </si>
  <si>
    <t xml:space="preserve">Net contribution (after all variable, incl. PIX high-est.)</t>
  </si>
  <si>
    <t xml:space="preserve">Retention — NEED (break-even line)</t>
  </si>
  <si>
    <t xml:space="preserve">Retention — OPTIMIZE (compounding)</t>
  </si>
  <si>
    <t xml:space="preserve">M7+ fixed run-rate (from Cost Forecast)</t>
  </si>
  <si>
    <t xml:space="preserve">PROFIT — AT A GLANCE</t>
  </si>
  <si>
    <t xml:space="preserve">Scenario</t>
  </si>
  <si>
    <t xml:space="preserve">Pilot M1–M4 (the investment)</t>
  </si>
  <si>
    <t xml:space="preserve">M5–M6 / mo</t>
  </si>
  <si>
    <t xml:space="preserve">M7+ / mo</t>
  </si>
  <si>
    <t xml:space="preserve">Cumulative at M6</t>
  </si>
  <si>
    <t xml:space="preserve">NEED — break-even (~28% ret.)</t>
  </si>
  <si>
    <t xml:space="preserve">OPTIMIZE — compounding (~39% ret.)</t>
  </si>
  <si>
    <t xml:space="preserve">Read: the pilot is an investment (red) in both scenarios. At the NEED line the machine reaches break-even from M7 (profit ≈ $0/mo — that is the definition of the line). At the OPTIMIZE line the same spend returns ~+$6K/mo from M7 to reinvest. Green = profit, red = loss.</t>
  </si>
  <si>
    <t xml:space="preserve">Metric</t>
  </si>
  <si>
    <t xml:space="preserve">M1 (onboard)</t>
  </si>
  <si>
    <t xml:space="preserve">M2 (pilot 1)</t>
  </si>
  <si>
    <t xml:space="preserve">M3 (pilot 2)</t>
  </si>
  <si>
    <t xml:space="preserve">M4 (pilot 3 · gate)</t>
  </si>
  <si>
    <t xml:space="preserve">M7+ /mo</t>
  </si>
  <si>
    <t xml:space="preserve">Anzil media spend</t>
  </si>
  <si>
    <t xml:space="preserve">New FTDs (media ÷ CAC)</t>
  </si>
  <si>
    <t xml:space="preserve">Cumulative FTDs (end of month)</t>
  </si>
  <si>
    <t xml:space="preserve">NEED — break-even line (~28% retention)</t>
  </si>
  <si>
    <t xml:space="preserve">Active depositors</t>
  </si>
  <si>
    <t xml:space="preserve">Target GGR (actives × ARPU)</t>
  </si>
  <si>
    <t xml:space="preserve">− Player bonuses &amp; incentives (25% of GGR)</t>
  </si>
  <si>
    <t xml:space="preserve">NGR  (= GGR − bonuses)</t>
  </si>
  <si>
    <t xml:space="preserve">Net contribution (51.5% of GGR, after all variable fees)</t>
  </si>
  <si>
    <t xml:space="preserve">Monthly cost (from Cost Forecast)</t>
  </si>
  <si>
    <t xml:space="preserve">MONTHLY PROFIT / LOSS  (net contribution − cost)</t>
  </si>
  <si>
    <t xml:space="preserve">CUMULATIVE PROFIT / LOSS  (M1–M6)</t>
  </si>
  <si>
    <t xml:space="preserve">n/a</t>
  </si>
  <si>
    <t xml:space="preserve">OPTIMIZE — compounding (~39% retention)</t>
  </si>
  <si>
    <t xml:space="preserve">After-M4 states (exit run-rate vs the floor)</t>
  </si>
  <si>
    <t xml:space="preserve">Retention of ~3,450 pilot FTDs</t>
  </si>
  <si>
    <t xml:space="preserve">Active deps</t>
  </si>
  <si>
    <t xml:space="preserve">GGR / mo</t>
  </si>
  <si>
    <t xml:space="preserve">Net / mo (51.5%)</t>
  </si>
  <si>
    <t xml:space="preserve">vs M7+ run-rate</t>
  </si>
  <si>
    <t xml:space="preserve">Verdict</t>
  </si>
  <si>
    <t xml:space="preserve">KILL — bleeds</t>
  </si>
  <si>
    <t xml:space="preserve">Marginal — kill unless trending up</t>
  </si>
  <si>
    <t xml:space="preserve">Break-even — the GO line</t>
  </si>
  <si>
    <t xml:space="preserve">Compounding — scale it</t>
  </si>
  <si>
    <t xml:space="preserve">M4 gate floor (GGR/mo) = M7+ run-rate ÷ net contribution</t>
  </si>
  <si>
    <t xml:space="preserve">Full P&amp;L Cascade — From GGR to Net Profit (Path C stack)</t>
  </si>
  <si>
    <t xml:space="preserve">Read top to bottom: every row takes a real cost out of real GGR. MOVING fees scale with revenue (% of GGR); FIXED fees are $/month regardless of revenue. Includes the ~5% high-estimate PIX on-ramp fee and treats the Cubeia €5K/mo (M7+) as additive — deliberately more conservative than the dashboard's at-scale page. Paths A/B variant: add 9% affiliate → 47.5% net, floor ~$35K.</t>
  </si>
  <si>
    <t xml:space="preserve">Type</t>
  </si>
  <si>
    <t xml:space="preserve">Rate / $ per month</t>
  </si>
  <si>
    <t xml:space="preserve">At the floor (~$28.5K GGR)</t>
  </si>
  <si>
    <t xml:space="preserve">At $100K GGR</t>
  </si>
  <si>
    <t xml:space="preserve">Who gets it / note</t>
  </si>
  <si>
    <t xml:space="preserve">Gross Gaming Revenue (GGR)</t>
  </si>
  <si>
    <t xml:space="preserve">the input</t>
  </si>
  <si>
    <t xml:space="preserve">stakes − player wins · change the blue cells to test any level</t>
  </si>
  <si>
    <t xml:space="preserve">− Player bonuses &amp; incentives</t>
  </si>
  <si>
    <t xml:space="preserve">MOVING — % of GGR</t>
  </si>
  <si>
    <t xml:space="preserve">welcome / reload / cashback — to players</t>
  </si>
  <si>
    <t xml:space="preserve">NGR  (GGR − bonuses)</t>
  </si>
  <si>
    <t xml:space="preserve">what 'real' revenue actually is</t>
  </si>
  <si>
    <t xml:space="preserve">− Game-provider rev share (blended)</t>
  </si>
  <si>
    <t xml:space="preserve">slot / live studios</t>
  </si>
  <si>
    <t xml:space="preserve">− Crypto processing</t>
  </si>
  <si>
    <t xml:space="preserve">processors + on-chain fees</t>
  </si>
  <si>
    <t xml:space="preserve">− PIX on-ramp (HIGH estimate, unconfirmed)</t>
  </si>
  <si>
    <t xml:space="preserve">fiat→crypto on-ramp — verify the real fee</t>
  </si>
  <si>
    <t xml:space="preserve">− Cubeia platform rev share</t>
  </si>
  <si>
    <t xml:space="preserve">white-label platform (contract §4)</t>
  </si>
  <si>
    <t xml:space="preserve">NET CONTRIBUTION  (after all moving fees)</t>
  </si>
  <si>
    <t xml:space="preserve">51.5% of every GGR dollar survives the moving fees</t>
  </si>
  <si>
    <t xml:space="preserve">− Salaries (T + O + G)</t>
  </si>
  <si>
    <t xml:space="preserve">FIXED — $ / month</t>
  </si>
  <si>
    <t xml:space="preserve">the team</t>
  </si>
  <si>
    <t xml:space="preserve">− X VIP Transfer Method</t>
  </si>
  <si>
    <t xml:space="preserve">staff $952 + tool $191</t>
  </si>
  <si>
    <t xml:space="preserve">− Cubeia AWS hosting</t>
  </si>
  <si>
    <t xml:space="preserve">€1,700/mo, Appendix B</t>
  </si>
  <si>
    <t xml:space="preserve">− Cubeia platform minimum (M7+)</t>
  </si>
  <si>
    <t xml:space="preserve">€5K/mo from M7 — additive in this model (open question vs 'minimum')</t>
  </si>
  <si>
    <t xml:space="preserve">− Subscriptions</t>
  </si>
  <si>
    <t xml:space="preserve">Customer.io 324 + Freshchat 54 + security 281 + Claude 200 + other 476</t>
  </si>
  <si>
    <t xml:space="preserve">Total fixed burn  (M7+ run-rate)</t>
  </si>
  <si>
    <t xml:space="preserve">NET PROFIT / month</t>
  </si>
  <si>
    <t xml:space="preserve">the floor column landing at ≈ $0 is the kill line proven line-by-line</t>
  </si>
  <si>
    <t xml:space="preserve">Growth marketing: $0 baseline after the pilot — reinvest-all means media is funded out of the Net Profit line, never the envelope.</t>
  </si>
  <si>
    <t xml:space="preserve">The floor, derived: fixed burn ÷ net-contribution % =</t>
  </si>
  <si>
    <t xml:space="preserve">exit M4 below this run-rate and flat → KILL</t>
  </si>
  <si>
    <t xml:space="preserve">Every Fee at Scale — monthly GGR of $100K / $1M / $10M / $100M</t>
  </si>
  <si>
    <t xml:space="preserve">MOVING fees scale 1:1 with GGR; FIXED/stepped costs dilute — that is the operating leverage. Rates link to the P&amp;L Cascade sheet (single source of truth). GoLuna fixed opex is a staffed-for-scale estimate; $100M column extrapolated (~3% of GGR) — tune to a real hiring plan. Growth marketing 20% of GGR is a steady-state assumption (media ~17.4% + Anzil 15% mgmt ~2.6%); at $5M+/mo renegotiate or in-house the 15%.</t>
  </si>
  <si>
    <t xml:space="preserve">Growth marketing (steady-state, % of GGR)</t>
  </si>
  <si>
    <t xml:space="preserve">Type / rate</t>
  </si>
  <si>
    <t xml:space="preserve">$100K / mo</t>
  </si>
  <si>
    <t xml:space="preserve">$1M / mo</t>
  </si>
  <si>
    <t xml:space="preserve">$10M / mo</t>
  </si>
  <si>
    <t xml:space="preserve">$100M / mo</t>
  </si>
  <si>
    <t xml:space="preserve">− Player bonuses &amp; incentives (→ players)</t>
  </si>
  <si>
    <t xml:space="preserve">− Game providers, blended (→ studios)</t>
  </si>
  <si>
    <t xml:space="preserve">− Crypto processing (→ processors)</t>
  </si>
  <si>
    <t xml:space="preserve">− PIX on-ramp, high est. (→ on-ramp partner)</t>
  </si>
  <si>
    <t xml:space="preserve">− Cubeia platform 5% (→ Cubeia)</t>
  </si>
  <si>
    <t xml:space="preserve">Total moving fees</t>
  </si>
  <si>
    <t xml:space="preserve">NET CONTRIBUTION</t>
  </si>
  <si>
    <t xml:space="preserve">− Cubeia platform minimum, M7+ (FIXED)</t>
  </si>
  <si>
    <t xml:space="preserve">− GoLuna fixed opex (stepped estimate — staffed for scale)</t>
  </si>
  <si>
    <t xml:space="preserve">FIXED / stepped</t>
  </si>
  <si>
    <t xml:space="preserve">OPERATING PROFIT  (EBITDA, pre-marketing)</t>
  </si>
  <si>
    <t xml:space="preserve">− Growth marketing (media + Anzil 15% mgmt)</t>
  </si>
  <si>
    <t xml:space="preserve">Net margin (% of GGR)</t>
  </si>
  <si>
    <t xml:space="preserve">Annualised GGR (×12)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</si>
</sst>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"/>
    <numFmt numFmtId="166" formatCode="\$#,##0;[RED]&quot;($&quot;#,##0\);\-"/>
    <numFmt numFmtId="167" formatCode="0.0%"/>
    <numFmt numFmtId="168" formatCode="&quot;+$&quot;#,##0;&quot;($&quot;#,##0\);\-"/>
    <numFmt numFmtId="169" formatCode="#,##0;[RED]\(#,##0\)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9"/>
      <color rgb="FF7A4D00"/>
      <name val="Arial"/>
      <family val="0"/>
      <charset val="1"/>
    </font>
    <font>
      <b val="true"/>
      <sz val="9"/>
      <color rgb="FF0B5563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1F3A"/>
        <bgColor rgb="FF333300"/>
      </patternFill>
    </fill>
    <fill>
      <patternFill patternType="solid">
        <fgColor rgb="FFEDE9FE"/>
        <bgColor rgb="FFEFEFEF"/>
      </patternFill>
    </fill>
    <fill>
      <patternFill patternType="solid">
        <fgColor rgb="FFEFEFEF"/>
        <bgColor rgb="FFEDE9FE"/>
      </patternFill>
    </fill>
    <fill>
      <patternFill patternType="solid">
        <fgColor rgb="FFFDE9C8"/>
        <bgColor rgb="FFEFEFEF"/>
      </patternFill>
    </fill>
    <fill>
      <patternFill patternType="solid">
        <fgColor rgb="FFD6F0F7"/>
        <bgColor rgb="FFEDE9FE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  <sz val="10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E9C8"/>
      <rgbColor rgb="FFD6F0F7"/>
      <rgbColor rgb="FF660066"/>
      <rgbColor rgb="FFFF8080"/>
      <rgbColor rgb="FF0066CC"/>
      <rgbColor rgb="FFEDE9F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EFE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B5563"/>
      <rgbColor rgb="FF339966"/>
      <rgbColor rgb="FF006100"/>
      <rgbColor rgb="FF333300"/>
      <rgbColor rgb="FF7A4D00"/>
      <rgbColor rgb="FF993366"/>
      <rgbColor rgb="FF333399"/>
      <rgbColor rgb="FF1F1F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1" topLeftCell="B12" activePane="bottomRight" state="frozen"/>
      <selection pane="topLeft" activeCell="A1" activeCellId="0" sqref="A1"/>
      <selection pane="topRight" activeCell="B1" activeCellId="0" sqref="B1"/>
      <selection pane="bottomLeft" activeCell="A12" activeCellId="0" sqref="A1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14" min="2" style="0" width="11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n">
        <v>10.5</v>
      </c>
    </row>
    <row r="6" customFormat="false" ht="15" hidden="false" customHeight="false" outlineLevel="0" collapsed="false">
      <c r="A6" s="4" t="s">
        <v>4</v>
      </c>
      <c r="B6" s="6" t="n">
        <f aca="false">2500000/B5</f>
        <v>238095.238095238</v>
      </c>
    </row>
    <row r="7" customFormat="false" ht="15" hidden="false" customHeight="false" outlineLevel="0" collapsed="false">
      <c r="A7" s="4" t="s">
        <v>5</v>
      </c>
      <c r="B7" s="6" t="n">
        <f aca="false">1000000/B5</f>
        <v>95238.0952380952</v>
      </c>
    </row>
    <row r="8" customFormat="false" ht="15" hidden="false" customHeight="false" outlineLevel="0" collapsed="false">
      <c r="A8" s="4" t="s">
        <v>6</v>
      </c>
      <c r="B8" s="7" t="n">
        <v>0.15</v>
      </c>
    </row>
    <row r="9" customFormat="false" ht="15" hidden="false" customHeight="false" outlineLevel="0" collapsed="false">
      <c r="A9" s="4" t="s">
        <v>7</v>
      </c>
      <c r="B9" s="8" t="n">
        <v>100000</v>
      </c>
    </row>
    <row r="11" customFormat="false" ht="15" hidden="false" customHeight="false" outlineLevel="0" collapsed="false">
      <c r="A11" s="9" t="s">
        <v>8</v>
      </c>
      <c r="B11" s="10" t="s">
        <v>9</v>
      </c>
      <c r="C11" s="10" t="s">
        <v>10</v>
      </c>
      <c r="D11" s="10" t="s">
        <v>11</v>
      </c>
      <c r="E11" s="10" t="s">
        <v>12</v>
      </c>
      <c r="F11" s="10" t="s">
        <v>13</v>
      </c>
      <c r="G11" s="10" t="s">
        <v>14</v>
      </c>
      <c r="H11" s="10" t="s">
        <v>15</v>
      </c>
      <c r="I11" s="10" t="s">
        <v>16</v>
      </c>
      <c r="J11" s="10" t="s">
        <v>17</v>
      </c>
      <c r="K11" s="10" t="s">
        <v>18</v>
      </c>
      <c r="L11" s="10" t="s">
        <v>19</v>
      </c>
      <c r="M11" s="10" t="s">
        <v>20</v>
      </c>
      <c r="N11" s="10" t="s">
        <v>21</v>
      </c>
    </row>
    <row r="12" customFormat="false" ht="15" hidden="false" customHeight="false" outlineLevel="0" collapsed="false">
      <c r="A12" s="4" t="s">
        <v>22</v>
      </c>
      <c r="B12" s="11" t="n">
        <v>5000</v>
      </c>
      <c r="C12" s="11" t="n">
        <v>5000</v>
      </c>
      <c r="D12" s="11" t="n">
        <v>5000</v>
      </c>
      <c r="E12" s="11" t="n">
        <v>5000</v>
      </c>
      <c r="F12" s="11" t="n">
        <v>5000</v>
      </c>
      <c r="G12" s="11" t="n">
        <v>5000</v>
      </c>
      <c r="H12" s="11" t="n">
        <v>5000</v>
      </c>
      <c r="I12" s="11" t="n">
        <v>5000</v>
      </c>
      <c r="J12" s="11" t="n">
        <v>5000</v>
      </c>
      <c r="K12" s="11" t="n">
        <v>5000</v>
      </c>
      <c r="L12" s="11" t="n">
        <v>5000</v>
      </c>
      <c r="M12" s="11" t="n">
        <v>5000</v>
      </c>
      <c r="N12" s="6" t="n">
        <f aca="false">SUM(B12:M12)</f>
        <v>60000</v>
      </c>
    </row>
    <row r="13" customFormat="false" ht="15" hidden="false" customHeight="false" outlineLevel="0" collapsed="false">
      <c r="A13" s="4" t="s">
        <v>23</v>
      </c>
      <c r="B13" s="11" t="n">
        <v>0</v>
      </c>
      <c r="C13" s="11" t="n">
        <v>1143</v>
      </c>
      <c r="D13" s="11" t="n">
        <v>1143</v>
      </c>
      <c r="E13" s="11" t="n">
        <v>1143</v>
      </c>
      <c r="F13" s="11" t="n">
        <v>1143</v>
      </c>
      <c r="G13" s="11" t="n">
        <v>1143</v>
      </c>
      <c r="H13" s="11" t="n">
        <v>1143</v>
      </c>
      <c r="I13" s="11" t="n">
        <v>1143</v>
      </c>
      <c r="J13" s="11" t="n">
        <v>1143</v>
      </c>
      <c r="K13" s="11" t="n">
        <v>1143</v>
      </c>
      <c r="L13" s="11" t="n">
        <v>1143</v>
      </c>
      <c r="M13" s="11" t="n">
        <v>1143</v>
      </c>
      <c r="N13" s="6" t="n">
        <f aca="false">SUM(B13:M13)</f>
        <v>12573</v>
      </c>
    </row>
    <row r="14" customFormat="false" ht="15" hidden="false" customHeight="false" outlineLevel="0" collapsed="false">
      <c r="A14" s="4" t="s">
        <v>24</v>
      </c>
      <c r="B14" s="11" t="n">
        <v>1836</v>
      </c>
      <c r="C14" s="11" t="n">
        <v>1836</v>
      </c>
      <c r="D14" s="11" t="n">
        <v>1836</v>
      </c>
      <c r="E14" s="11" t="n">
        <v>1836</v>
      </c>
      <c r="F14" s="11" t="n">
        <v>1836</v>
      </c>
      <c r="G14" s="11" t="n">
        <v>1836</v>
      </c>
      <c r="H14" s="11" t="n">
        <v>1836</v>
      </c>
      <c r="I14" s="11" t="n">
        <v>1836</v>
      </c>
      <c r="J14" s="11" t="n">
        <v>1836</v>
      </c>
      <c r="K14" s="11" t="n">
        <v>1836</v>
      </c>
      <c r="L14" s="11" t="n">
        <v>1836</v>
      </c>
      <c r="M14" s="11" t="n">
        <v>1836</v>
      </c>
      <c r="N14" s="6" t="n">
        <f aca="false">SUM(B14:M14)</f>
        <v>22032</v>
      </c>
    </row>
    <row r="15" customFormat="false" ht="15" hidden="false" customHeight="false" outlineLevel="0" collapsed="false">
      <c r="A15" s="4" t="s">
        <v>25</v>
      </c>
      <c r="B15" s="11" t="n">
        <v>324</v>
      </c>
      <c r="C15" s="11" t="n">
        <v>324</v>
      </c>
      <c r="D15" s="11" t="n">
        <v>324</v>
      </c>
      <c r="E15" s="11" t="n">
        <v>324</v>
      </c>
      <c r="F15" s="11" t="n">
        <v>324</v>
      </c>
      <c r="G15" s="11" t="n">
        <v>324</v>
      </c>
      <c r="H15" s="11" t="n">
        <v>324</v>
      </c>
      <c r="I15" s="11" t="n">
        <v>324</v>
      </c>
      <c r="J15" s="11" t="n">
        <v>324</v>
      </c>
      <c r="K15" s="11" t="n">
        <v>324</v>
      </c>
      <c r="L15" s="11" t="n">
        <v>324</v>
      </c>
      <c r="M15" s="11" t="n">
        <v>324</v>
      </c>
      <c r="N15" s="6" t="n">
        <f aca="false">SUM(B15:M15)</f>
        <v>3888</v>
      </c>
    </row>
    <row r="16" customFormat="false" ht="15" hidden="false" customHeight="false" outlineLevel="0" collapsed="false">
      <c r="A16" s="4" t="s">
        <v>26</v>
      </c>
      <c r="B16" s="11" t="n">
        <v>0</v>
      </c>
      <c r="C16" s="11" t="n">
        <v>54</v>
      </c>
      <c r="D16" s="11" t="n">
        <v>54</v>
      </c>
      <c r="E16" s="11" t="n">
        <v>54</v>
      </c>
      <c r="F16" s="11" t="n">
        <v>54</v>
      </c>
      <c r="G16" s="11" t="n">
        <v>54</v>
      </c>
      <c r="H16" s="11" t="n">
        <v>54</v>
      </c>
      <c r="I16" s="11" t="n">
        <v>54</v>
      </c>
      <c r="J16" s="11" t="n">
        <v>54</v>
      </c>
      <c r="K16" s="11" t="n">
        <v>54</v>
      </c>
      <c r="L16" s="11" t="n">
        <v>54</v>
      </c>
      <c r="M16" s="11" t="n">
        <v>54</v>
      </c>
      <c r="N16" s="6" t="n">
        <f aca="false">SUM(B16:M16)</f>
        <v>594</v>
      </c>
    </row>
    <row r="17" customFormat="false" ht="15" hidden="false" customHeight="false" outlineLevel="0" collapsed="false">
      <c r="A17" s="4" t="s">
        <v>27</v>
      </c>
      <c r="B17" s="11" t="n">
        <v>0</v>
      </c>
      <c r="C17" s="11" t="n">
        <v>0</v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5400</v>
      </c>
      <c r="I17" s="11" t="n">
        <v>5400</v>
      </c>
      <c r="J17" s="11" t="n">
        <v>5400</v>
      </c>
      <c r="K17" s="11" t="n">
        <v>5400</v>
      </c>
      <c r="L17" s="11" t="n">
        <v>5400</v>
      </c>
      <c r="M17" s="11" t="n">
        <v>5400</v>
      </c>
      <c r="N17" s="6" t="n">
        <f aca="false">SUM(B17:M17)</f>
        <v>32400</v>
      </c>
    </row>
    <row r="18" customFormat="false" ht="15" hidden="false" customHeight="false" outlineLevel="0" collapsed="false">
      <c r="A18" s="4" t="s">
        <v>28</v>
      </c>
      <c r="B18" s="11" t="n">
        <v>281</v>
      </c>
      <c r="C18" s="11" t="n">
        <v>281</v>
      </c>
      <c r="D18" s="11" t="n">
        <v>281</v>
      </c>
      <c r="E18" s="11" t="n">
        <v>281</v>
      </c>
      <c r="F18" s="11" t="n">
        <v>281</v>
      </c>
      <c r="G18" s="11" t="n">
        <v>281</v>
      </c>
      <c r="H18" s="11" t="n">
        <v>281</v>
      </c>
      <c r="I18" s="11" t="n">
        <v>281</v>
      </c>
      <c r="J18" s="11" t="n">
        <v>281</v>
      </c>
      <c r="K18" s="11" t="n">
        <v>281</v>
      </c>
      <c r="L18" s="11" t="n">
        <v>281</v>
      </c>
      <c r="M18" s="11" t="n">
        <v>281</v>
      </c>
      <c r="N18" s="6" t="n">
        <f aca="false">SUM(B18:M18)</f>
        <v>3372</v>
      </c>
    </row>
    <row r="19" customFormat="false" ht="15" hidden="false" customHeight="false" outlineLevel="0" collapsed="false">
      <c r="A19" s="4" t="s">
        <v>29</v>
      </c>
      <c r="B19" s="11" t="n">
        <v>200</v>
      </c>
      <c r="C19" s="11" t="n">
        <v>200</v>
      </c>
      <c r="D19" s="11" t="n">
        <v>200</v>
      </c>
      <c r="E19" s="11" t="n">
        <v>200</v>
      </c>
      <c r="F19" s="11" t="n">
        <v>200</v>
      </c>
      <c r="G19" s="11" t="n">
        <v>200</v>
      </c>
      <c r="H19" s="11" t="n">
        <v>200</v>
      </c>
      <c r="I19" s="11" t="n">
        <v>200</v>
      </c>
      <c r="J19" s="11" t="n">
        <v>200</v>
      </c>
      <c r="K19" s="11" t="n">
        <v>200</v>
      </c>
      <c r="L19" s="11" t="n">
        <v>200</v>
      </c>
      <c r="M19" s="11" t="n">
        <v>200</v>
      </c>
      <c r="N19" s="6" t="n">
        <f aca="false">SUM(B19:M19)</f>
        <v>2400</v>
      </c>
    </row>
    <row r="20" customFormat="false" ht="15" hidden="false" customHeight="false" outlineLevel="0" collapsed="false">
      <c r="A20" s="4" t="s">
        <v>30</v>
      </c>
      <c r="B20" s="11" t="n">
        <v>1652</v>
      </c>
      <c r="C20" s="11" t="n">
        <v>0</v>
      </c>
      <c r="D20" s="11" t="n">
        <v>0</v>
      </c>
      <c r="E20" s="11" t="n">
        <v>0</v>
      </c>
      <c r="F20" s="11" t="n">
        <v>0</v>
      </c>
      <c r="G20" s="11" t="n">
        <v>0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0</v>
      </c>
      <c r="M20" s="11" t="n">
        <v>0</v>
      </c>
      <c r="N20" s="6" t="n">
        <f aca="false">SUM(B20:M20)</f>
        <v>1652</v>
      </c>
    </row>
    <row r="21" customFormat="false" ht="15" hidden="false" customHeight="false" outlineLevel="0" collapsed="false">
      <c r="A21" s="4" t="s">
        <v>31</v>
      </c>
      <c r="B21" s="11" t="n">
        <v>6858</v>
      </c>
      <c r="C21" s="11" t="n">
        <v>0</v>
      </c>
      <c r="D21" s="11" t="n">
        <v>0</v>
      </c>
      <c r="E21" s="11" t="n">
        <v>0</v>
      </c>
      <c r="F21" s="11" t="n">
        <v>0</v>
      </c>
      <c r="G21" s="11" t="n">
        <v>0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0</v>
      </c>
      <c r="M21" s="11" t="n">
        <v>0</v>
      </c>
      <c r="N21" s="6" t="n">
        <f aca="false">SUM(B21:M21)</f>
        <v>6858</v>
      </c>
    </row>
    <row r="22" customFormat="false" ht="15" hidden="false" customHeight="false" outlineLevel="0" collapsed="false">
      <c r="A22" s="4" t="s">
        <v>32</v>
      </c>
      <c r="B22" s="11" t="n">
        <v>4800</v>
      </c>
      <c r="C22" s="11" t="n">
        <v>0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0</v>
      </c>
      <c r="M22" s="11" t="n">
        <v>0</v>
      </c>
      <c r="N22" s="6" t="n">
        <f aca="false">SUM(B22:M22)</f>
        <v>4800</v>
      </c>
    </row>
    <row r="23" customFormat="false" ht="15" hidden="false" customHeight="false" outlineLevel="0" collapsed="false">
      <c r="A23" s="4" t="s">
        <v>33</v>
      </c>
      <c r="B23" s="11" t="n">
        <v>3000</v>
      </c>
      <c r="C23" s="11" t="n">
        <v>0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0</v>
      </c>
      <c r="M23" s="11" t="n">
        <v>0</v>
      </c>
      <c r="N23" s="6" t="n">
        <f aca="false">SUM(B23:M23)</f>
        <v>3000</v>
      </c>
    </row>
    <row r="24" customFormat="false" ht="15" hidden="false" customHeight="false" outlineLevel="0" collapsed="false">
      <c r="A24" s="4" t="s">
        <v>34</v>
      </c>
      <c r="B24" s="11" t="n">
        <v>476</v>
      </c>
      <c r="C24" s="11" t="n">
        <v>476</v>
      </c>
      <c r="D24" s="11" t="n">
        <v>476</v>
      </c>
      <c r="E24" s="11" t="n">
        <v>476</v>
      </c>
      <c r="F24" s="11" t="n">
        <v>476</v>
      </c>
      <c r="G24" s="11" t="n">
        <v>476</v>
      </c>
      <c r="H24" s="11" t="n">
        <v>476</v>
      </c>
      <c r="I24" s="11" t="n">
        <v>476</v>
      </c>
      <c r="J24" s="11" t="n">
        <v>476</v>
      </c>
      <c r="K24" s="11" t="n">
        <v>476</v>
      </c>
      <c r="L24" s="11" t="n">
        <v>476</v>
      </c>
      <c r="M24" s="11" t="n">
        <v>476</v>
      </c>
      <c r="N24" s="6" t="n">
        <f aca="false">SUM(B24:M24)</f>
        <v>5712</v>
      </c>
    </row>
    <row r="25" customFormat="false" ht="15" hidden="false" customHeight="false" outlineLevel="0" collapsed="false">
      <c r="A25" s="3" t="s">
        <v>35</v>
      </c>
      <c r="B25" s="12" t="n">
        <v>0</v>
      </c>
      <c r="C25" s="12" t="n">
        <v>25000</v>
      </c>
      <c r="D25" s="12" t="n">
        <v>0</v>
      </c>
      <c r="E25" s="12" t="n">
        <v>0</v>
      </c>
      <c r="F25" s="12" t="n">
        <v>0</v>
      </c>
      <c r="G25" s="12" t="n">
        <v>0</v>
      </c>
      <c r="H25" s="12" t="n">
        <v>0</v>
      </c>
      <c r="I25" s="12" t="n">
        <v>0</v>
      </c>
      <c r="J25" s="12" t="n">
        <v>0</v>
      </c>
      <c r="K25" s="12" t="n">
        <v>0</v>
      </c>
      <c r="L25" s="12" t="n">
        <v>0</v>
      </c>
      <c r="M25" s="12" t="n">
        <v>0</v>
      </c>
      <c r="N25" s="13" t="n">
        <f aca="false">SUM(B25:M25)</f>
        <v>25000</v>
      </c>
    </row>
    <row r="26" customFormat="false" ht="15" hidden="false" customHeight="false" outlineLevel="0" collapsed="false">
      <c r="A26" s="3" t="s">
        <v>36</v>
      </c>
      <c r="B26" s="12" t="n">
        <v>3240</v>
      </c>
      <c r="C26" s="12" t="n">
        <v>0</v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2" t="n">
        <v>0</v>
      </c>
      <c r="J26" s="12" t="n">
        <v>0</v>
      </c>
      <c r="K26" s="12" t="n">
        <v>0</v>
      </c>
      <c r="L26" s="12" t="n">
        <v>0</v>
      </c>
      <c r="M26" s="12" t="n">
        <v>0</v>
      </c>
      <c r="N26" s="13" t="n">
        <f aca="false">SUM(B26:M26)</f>
        <v>3240</v>
      </c>
    </row>
    <row r="27" customFormat="false" ht="15" hidden="false" customHeight="false" outlineLevel="0" collapsed="false">
      <c r="A27" s="3" t="s">
        <v>37</v>
      </c>
      <c r="B27" s="12" t="n">
        <v>0</v>
      </c>
      <c r="C27" s="12" t="n">
        <v>1620</v>
      </c>
      <c r="D27" s="12" t="n">
        <v>1620</v>
      </c>
      <c r="E27" s="12" t="n">
        <v>1620</v>
      </c>
      <c r="F27" s="12" t="n">
        <v>0</v>
      </c>
      <c r="G27" s="12" t="n">
        <v>0</v>
      </c>
      <c r="H27" s="12" t="n">
        <v>0</v>
      </c>
      <c r="I27" s="12" t="n">
        <v>0</v>
      </c>
      <c r="J27" s="12" t="n">
        <v>0</v>
      </c>
      <c r="K27" s="12" t="n">
        <v>0</v>
      </c>
      <c r="L27" s="12" t="n">
        <v>0</v>
      </c>
      <c r="M27" s="12" t="n">
        <v>0</v>
      </c>
      <c r="N27" s="13" t="n">
        <f aca="false">SUM(B27:M27)</f>
        <v>4860</v>
      </c>
    </row>
    <row r="28" customFormat="false" ht="15" hidden="false" customHeight="false" outlineLevel="0" collapsed="false">
      <c r="A28" s="3" t="s">
        <v>38</v>
      </c>
      <c r="B28" s="12" t="n">
        <v>0</v>
      </c>
      <c r="C28" s="12" t="n">
        <v>15000</v>
      </c>
      <c r="D28" s="12" t="n">
        <v>25000</v>
      </c>
      <c r="E28" s="12" t="n">
        <v>29000</v>
      </c>
      <c r="F28" s="12" t="n">
        <v>0</v>
      </c>
      <c r="G28" s="12" t="n">
        <v>0</v>
      </c>
      <c r="H28" s="12" t="n">
        <v>0</v>
      </c>
      <c r="I28" s="12" t="n">
        <v>0</v>
      </c>
      <c r="J28" s="12" t="n">
        <v>0</v>
      </c>
      <c r="K28" s="12" t="n">
        <v>0</v>
      </c>
      <c r="L28" s="12" t="n">
        <v>0</v>
      </c>
      <c r="M28" s="12" t="n">
        <v>0</v>
      </c>
      <c r="N28" s="13" t="n">
        <f aca="false">SUM(B28:M28)</f>
        <v>69000</v>
      </c>
    </row>
    <row r="29" customFormat="false" ht="15" hidden="false" customHeight="false" outlineLevel="0" collapsed="false">
      <c r="A29" s="3" t="s">
        <v>39</v>
      </c>
      <c r="B29" s="13" t="n">
        <f aca="false">B28*$B$8</f>
        <v>0</v>
      </c>
      <c r="C29" s="13" t="n">
        <f aca="false">C28*$B$8</f>
        <v>2250</v>
      </c>
      <c r="D29" s="13" t="n">
        <f aca="false">D28*$B$8</f>
        <v>3750</v>
      </c>
      <c r="E29" s="13" t="n">
        <f aca="false">E28*$B$8</f>
        <v>4350</v>
      </c>
      <c r="F29" s="13" t="n">
        <f aca="false">F28*$B$8</f>
        <v>0</v>
      </c>
      <c r="G29" s="13" t="n">
        <f aca="false">G28*$B$8</f>
        <v>0</v>
      </c>
      <c r="H29" s="13" t="n">
        <f aca="false">H28*$B$8</f>
        <v>0</v>
      </c>
      <c r="I29" s="13" t="n">
        <f aca="false">I28*$B$8</f>
        <v>0</v>
      </c>
      <c r="J29" s="13" t="n">
        <f aca="false">J28*$B$8</f>
        <v>0</v>
      </c>
      <c r="K29" s="13" t="n">
        <f aca="false">K28*$B$8</f>
        <v>0</v>
      </c>
      <c r="L29" s="13" t="n">
        <f aca="false">L28*$B$8</f>
        <v>0</v>
      </c>
      <c r="M29" s="13" t="n">
        <f aca="false">M28*$B$8</f>
        <v>0</v>
      </c>
      <c r="N29" s="13" t="n">
        <f aca="false">SUM(B29:M29)</f>
        <v>10350</v>
      </c>
    </row>
    <row r="30" customFormat="false" ht="15" hidden="false" customHeight="false" outlineLevel="0" collapsed="false">
      <c r="A30" s="3" t="s">
        <v>40</v>
      </c>
      <c r="B30" s="14" t="n">
        <f aca="false">SUM(B26:B29)+B25</f>
        <v>3240</v>
      </c>
      <c r="C30" s="14" t="n">
        <f aca="false">SUM(C26:C29)+C25</f>
        <v>43870</v>
      </c>
      <c r="D30" s="14" t="n">
        <f aca="false">SUM(D26:D29)+D25</f>
        <v>30370</v>
      </c>
      <c r="E30" s="14" t="n">
        <f aca="false">SUM(E26:E29)+E25</f>
        <v>34970</v>
      </c>
      <c r="F30" s="14" t="n">
        <f aca="false">SUM(F26:F29)+F25</f>
        <v>0</v>
      </c>
      <c r="G30" s="14" t="n">
        <f aca="false">SUM(G26:G29)+G25</f>
        <v>0</v>
      </c>
      <c r="H30" s="14" t="n">
        <f aca="false">SUM(H26:H29)+H25</f>
        <v>0</v>
      </c>
      <c r="I30" s="14" t="n">
        <f aca="false">SUM(I26:I29)+I25</f>
        <v>0</v>
      </c>
      <c r="J30" s="14" t="n">
        <f aca="false">SUM(J26:J29)+J25</f>
        <v>0</v>
      </c>
      <c r="K30" s="14" t="n">
        <f aca="false">SUM(K26:K29)+K25</f>
        <v>0</v>
      </c>
      <c r="L30" s="14" t="n">
        <f aca="false">SUM(L26:L29)+L25</f>
        <v>0</v>
      </c>
      <c r="M30" s="14" t="n">
        <f aca="false">SUM(M26:M29)+M25</f>
        <v>0</v>
      </c>
      <c r="N30" s="14" t="n">
        <f aca="false">SUM(N26:N29)+N25</f>
        <v>112450</v>
      </c>
    </row>
    <row r="31" customFormat="false" ht="15" hidden="false" customHeight="false" outlineLevel="0" collapsed="false">
      <c r="A31" s="3" t="s">
        <v>41</v>
      </c>
      <c r="B31" s="15" t="n">
        <f aca="false">SUM(B12:B24)</f>
        <v>24427</v>
      </c>
      <c r="C31" s="15" t="n">
        <f aca="false">SUM(C12:C24)</f>
        <v>9314</v>
      </c>
      <c r="D31" s="15" t="n">
        <f aca="false">SUM(D12:D24)</f>
        <v>9314</v>
      </c>
      <c r="E31" s="15" t="n">
        <f aca="false">SUM(E12:E24)</f>
        <v>9314</v>
      </c>
      <c r="F31" s="15" t="n">
        <f aca="false">SUM(F12:F24)</f>
        <v>9314</v>
      </c>
      <c r="G31" s="15" t="n">
        <f aca="false">SUM(G12:G24)</f>
        <v>9314</v>
      </c>
      <c r="H31" s="15" t="n">
        <f aca="false">SUM(H12:H24)</f>
        <v>14714</v>
      </c>
      <c r="I31" s="15" t="n">
        <f aca="false">SUM(I12:I24)</f>
        <v>14714</v>
      </c>
      <c r="J31" s="15" t="n">
        <f aca="false">SUM(J12:J24)</f>
        <v>14714</v>
      </c>
      <c r="K31" s="15" t="n">
        <f aca="false">SUM(K12:K24)</f>
        <v>14714</v>
      </c>
      <c r="L31" s="15" t="n">
        <f aca="false">SUM(L12:L24)</f>
        <v>14714</v>
      </c>
      <c r="M31" s="15" t="n">
        <f aca="false">SUM(M12:M24)</f>
        <v>14714</v>
      </c>
      <c r="N31" s="15" t="n">
        <f aca="false">SUM(N12:N24)</f>
        <v>159281</v>
      </c>
    </row>
    <row r="32" customFormat="false" ht="15" hidden="false" customHeight="false" outlineLevel="0" collapsed="false">
      <c r="A32" s="3" t="s">
        <v>42</v>
      </c>
      <c r="B32" s="15" t="n">
        <f aca="false">B30+B31</f>
        <v>27667</v>
      </c>
      <c r="C32" s="15" t="n">
        <f aca="false">C30+C31</f>
        <v>53184</v>
      </c>
      <c r="D32" s="15" t="n">
        <f aca="false">D30+D31</f>
        <v>39684</v>
      </c>
      <c r="E32" s="15" t="n">
        <f aca="false">E30+E31</f>
        <v>44284</v>
      </c>
      <c r="F32" s="15" t="n">
        <f aca="false">F30+F31</f>
        <v>9314</v>
      </c>
      <c r="G32" s="15" t="n">
        <f aca="false">G30+G31</f>
        <v>9314</v>
      </c>
      <c r="H32" s="15" t="n">
        <f aca="false">H30+H31</f>
        <v>14714</v>
      </c>
      <c r="I32" s="15" t="n">
        <f aca="false">I30+I31</f>
        <v>14714</v>
      </c>
      <c r="J32" s="15" t="n">
        <f aca="false">J30+J31</f>
        <v>14714</v>
      </c>
      <c r="K32" s="15" t="n">
        <f aca="false">K30+K31</f>
        <v>14714</v>
      </c>
      <c r="L32" s="15" t="n">
        <f aca="false">L30+L31</f>
        <v>14714</v>
      </c>
      <c r="M32" s="15" t="n">
        <f aca="false">M30+M31</f>
        <v>14714</v>
      </c>
      <c r="N32" s="15" t="n">
        <f aca="false">N30+N31</f>
        <v>271731</v>
      </c>
    </row>
    <row r="33" customFormat="false" ht="15" hidden="false" customHeight="false" outlineLevel="0" collapsed="false">
      <c r="A33" s="3" t="s">
        <v>43</v>
      </c>
      <c r="B33" s="6" t="n">
        <f aca="false">B32</f>
        <v>27667</v>
      </c>
      <c r="C33" s="6" t="n">
        <f aca="false">B33+C32</f>
        <v>80851</v>
      </c>
      <c r="D33" s="6" t="n">
        <f aca="false">C33+D32</f>
        <v>120535</v>
      </c>
      <c r="E33" s="6" t="n">
        <f aca="false">D33+E32</f>
        <v>164819</v>
      </c>
      <c r="F33" s="6" t="n">
        <f aca="false">E33+F32</f>
        <v>174133</v>
      </c>
      <c r="G33" s="6" t="n">
        <f aca="false">F33+G32</f>
        <v>183447</v>
      </c>
      <c r="H33" s="6" t="n">
        <f aca="false">G33+H32</f>
        <v>198161</v>
      </c>
      <c r="I33" s="6" t="n">
        <f aca="false">H33+I32</f>
        <v>212875</v>
      </c>
      <c r="J33" s="6" t="n">
        <f aca="false">I33+J32</f>
        <v>227589</v>
      </c>
      <c r="K33" s="6" t="n">
        <f aca="false">J33+K32</f>
        <v>242303</v>
      </c>
      <c r="L33" s="6" t="n">
        <f aca="false">K33+L32</f>
        <v>257017</v>
      </c>
      <c r="M33" s="6" t="n">
        <f aca="false">L33+M32</f>
        <v>271731</v>
      </c>
    </row>
    <row r="34" customFormat="false" ht="15" hidden="false" customHeight="false" outlineLevel="0" collapsed="false">
      <c r="A34" s="3" t="s">
        <v>44</v>
      </c>
      <c r="B34" s="6" t="n">
        <f aca="false">$B$6-B33</f>
        <v>210428.238095238</v>
      </c>
      <c r="C34" s="6" t="n">
        <f aca="false">$B$6-C33</f>
        <v>157244.238095238</v>
      </c>
      <c r="D34" s="6" t="n">
        <f aca="false">$B$6-D33</f>
        <v>117560.238095238</v>
      </c>
      <c r="E34" s="6" t="n">
        <f aca="false">$B$6-E33</f>
        <v>73276.2380952381</v>
      </c>
      <c r="F34" s="6" t="n">
        <f aca="false">$B$6-F33</f>
        <v>63962.2380952381</v>
      </c>
      <c r="G34" s="6" t="n">
        <f aca="false">$B$6-G33</f>
        <v>54648.2380952381</v>
      </c>
      <c r="H34" s="6" t="n">
        <f aca="false">$B$6-H33</f>
        <v>39934.2380952381</v>
      </c>
      <c r="I34" s="6" t="n">
        <f aca="false">$B$6-I33</f>
        <v>25220.2380952381</v>
      </c>
      <c r="J34" s="6" t="n">
        <f aca="false">$B$6-J33</f>
        <v>10506.2380952381</v>
      </c>
      <c r="K34" s="6" t="n">
        <f aca="false">$B$6-K33</f>
        <v>-4207.76190476189</v>
      </c>
      <c r="L34" s="6" t="n">
        <f aca="false">$B$6-L33</f>
        <v>-18921.7619047619</v>
      </c>
      <c r="M34" s="6" t="n">
        <f aca="false">$B$6-M33</f>
        <v>-33635.7619047619</v>
      </c>
    </row>
    <row r="37" customFormat="false" ht="15" hidden="false" customHeight="false" outlineLevel="0" collapsed="false">
      <c r="A37" s="3" t="s">
        <v>45</v>
      </c>
    </row>
    <row r="38" customFormat="false" ht="15" hidden="false" customHeight="false" outlineLevel="0" collapsed="false">
      <c r="A38" s="4" t="s">
        <v>46</v>
      </c>
      <c r="B38" s="6" t="n">
        <f aca="false">N26+N27+N28+N29</f>
        <v>87450</v>
      </c>
    </row>
    <row r="39" customFormat="false" ht="15" hidden="false" customHeight="false" outlineLevel="0" collapsed="false">
      <c r="A39" s="4" t="s">
        <v>47</v>
      </c>
      <c r="B39" s="6" t="n">
        <f aca="false">B7</f>
        <v>95238.0952380952</v>
      </c>
    </row>
    <row r="40" customFormat="false" ht="15" hidden="false" customHeight="false" outlineLevel="0" collapsed="false">
      <c r="A40" s="4" t="s">
        <v>48</v>
      </c>
      <c r="B40" s="6" t="n">
        <f aca="false">B7-B38</f>
        <v>7788.09523809524</v>
      </c>
    </row>
    <row r="41" customFormat="false" ht="15" hidden="false" customHeight="false" outlineLevel="0" collapsed="false">
      <c r="A41" s="4" t="s">
        <v>49</v>
      </c>
      <c r="B41" s="6" t="n">
        <f aca="false">B9</f>
        <v>100000</v>
      </c>
    </row>
    <row r="42" customFormat="false" ht="15" hidden="false" customHeight="false" outlineLevel="0" collapsed="false">
      <c r="A42" s="4" t="s">
        <v>50</v>
      </c>
      <c r="B42" s="6" t="n">
        <f aca="false">B9-B38</f>
        <v>12550</v>
      </c>
    </row>
    <row r="43" customFormat="false" ht="15" hidden="false" customHeight="false" outlineLevel="0" collapsed="false">
      <c r="A43" s="4" t="s">
        <v>51</v>
      </c>
      <c r="B43" s="6" t="n">
        <f aca="false">B26+C27+C28+C29</f>
        <v>22110</v>
      </c>
    </row>
    <row r="44" customFormat="false" ht="15" hidden="false" customHeight="false" outlineLevel="0" collapsed="false">
      <c r="A44" s="4" t="s">
        <v>52</v>
      </c>
      <c r="B44" s="6" t="n">
        <f aca="false">B38-B43</f>
        <v>65340</v>
      </c>
    </row>
    <row r="45" customFormat="false" ht="15" hidden="false" customHeight="false" outlineLevel="0" collapsed="false">
      <c r="A45" s="4" t="s">
        <v>53</v>
      </c>
      <c r="B45" s="6" t="n">
        <f aca="false">B43+D27+D28+D29</f>
        <v>52480</v>
      </c>
    </row>
    <row r="46" customFormat="false" ht="15" hidden="false" customHeight="false" outlineLevel="0" collapsed="false">
      <c r="A46" s="4" t="s">
        <v>54</v>
      </c>
      <c r="B46" s="6" t="n">
        <f aca="false">N25</f>
        <v>25000</v>
      </c>
    </row>
    <row r="48" customFormat="false" ht="15" hidden="false" customHeight="false" outlineLevel="0" collapsed="false">
      <c r="A48" s="3" t="s">
        <v>55</v>
      </c>
    </row>
    <row r="49" customFormat="false" ht="15" hidden="false" customHeight="false" outlineLevel="0" collapsed="false">
      <c r="A49" s="2" t="s">
        <v>56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  <row r="50" customFormat="false" ht="15" hidden="false" customHeight="false" outlineLevel="0" collapsed="false">
      <c r="A50" s="2" t="s">
        <v>57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</row>
    <row r="51" customFormat="false" ht="15" hidden="false" customHeight="false" outlineLevel="0" collapsed="false">
      <c r="A51" s="2" t="s">
        <v>58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  <row r="52" customFormat="false" ht="15" hidden="false" customHeight="false" outlineLevel="0" collapsed="false">
      <c r="A52" s="2" t="s">
        <v>59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customFormat="false" ht="15" hidden="false" customHeight="false" outlineLevel="0" collapsed="false">
      <c r="A53" s="2" t="s">
        <v>60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</sheetData>
  <mergeCells count="7">
    <mergeCell ref="A1:N1"/>
    <mergeCell ref="A2:N2"/>
    <mergeCell ref="A49:N49"/>
    <mergeCell ref="A50:N50"/>
    <mergeCell ref="A51:N51"/>
    <mergeCell ref="A52:N52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0" topLeftCell="B21" activePane="bottomRight" state="frozen"/>
      <selection pane="topLeft" activeCell="A1" activeCellId="0" sqref="A1"/>
      <selection pane="topRight" activeCell="B1" activeCellId="0" sqref="B1"/>
      <selection pane="bottomLeft" activeCell="A21" activeCellId="0" sqref="A2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8" min="2" style="0" width="15"/>
  </cols>
  <sheetData>
    <row r="1" customFormat="false" ht="17.35" hidden="false" customHeight="false" outlineLevel="0" collapsed="false">
      <c r="A1" s="1" t="s">
        <v>61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62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63</v>
      </c>
      <c r="B5" s="8" t="n">
        <v>30</v>
      </c>
    </row>
    <row r="6" customFormat="false" ht="15" hidden="false" customHeight="false" outlineLevel="0" collapsed="false">
      <c r="A6" s="4" t="s">
        <v>64</v>
      </c>
      <c r="B6" s="8" t="n">
        <v>20</v>
      </c>
    </row>
    <row r="7" customFormat="false" ht="15" hidden="false" customHeight="false" outlineLevel="0" collapsed="false">
      <c r="A7" s="4" t="s">
        <v>65</v>
      </c>
      <c r="B7" s="16" t="n">
        <v>0.75</v>
      </c>
    </row>
    <row r="8" customFormat="false" ht="15" hidden="false" customHeight="false" outlineLevel="0" collapsed="false">
      <c r="A8" s="4" t="s">
        <v>66</v>
      </c>
      <c r="B8" s="7" t="n">
        <v>0.515</v>
      </c>
    </row>
    <row r="9" customFormat="false" ht="15" hidden="false" customHeight="false" outlineLevel="0" collapsed="false">
      <c r="A9" s="4" t="s">
        <v>67</v>
      </c>
      <c r="B9" s="7" t="n">
        <v>0.28</v>
      </c>
    </row>
    <row r="10" customFormat="false" ht="15" hidden="false" customHeight="false" outlineLevel="0" collapsed="false">
      <c r="A10" s="4" t="s">
        <v>68</v>
      </c>
      <c r="B10" s="7" t="n">
        <v>0.39</v>
      </c>
    </row>
    <row r="11" customFormat="false" ht="15" hidden="false" customHeight="false" outlineLevel="0" collapsed="false">
      <c r="A11" s="4" t="s">
        <v>69</v>
      </c>
      <c r="B11" s="17" t="n">
        <f aca="false">'Cost Forecast'!H32</f>
        <v>14714</v>
      </c>
    </row>
    <row r="13" customFormat="false" ht="15" hidden="false" customHeight="false" outlineLevel="0" collapsed="false">
      <c r="A13" s="18" t="s">
        <v>70</v>
      </c>
      <c r="B13" s="19"/>
      <c r="C13" s="19"/>
      <c r="D13" s="19"/>
      <c r="E13" s="19"/>
    </row>
    <row r="14" customFormat="false" ht="15" hidden="false" customHeight="false" outlineLevel="0" collapsed="false">
      <c r="A14" s="9" t="s">
        <v>71</v>
      </c>
      <c r="B14" s="10" t="s">
        <v>72</v>
      </c>
      <c r="C14" s="10" t="s">
        <v>73</v>
      </c>
      <c r="D14" s="10" t="s">
        <v>74</v>
      </c>
      <c r="E14" s="10" t="s">
        <v>75</v>
      </c>
    </row>
    <row r="15" customFormat="false" ht="15" hidden="false" customHeight="false" outlineLevel="0" collapsed="false">
      <c r="A15" s="3" t="s">
        <v>76</v>
      </c>
      <c r="B15" s="20" t="n">
        <f aca="false">SUM(B32:E32)</f>
        <v>-99620</v>
      </c>
      <c r="C15" s="20" t="n">
        <f aca="false">F32</f>
        <v>5610.7</v>
      </c>
      <c r="D15" s="20" t="n">
        <f aca="false">H32</f>
        <v>210.700000000003</v>
      </c>
      <c r="E15" s="20" t="n">
        <f aca="false">G33</f>
        <v>-88398.6</v>
      </c>
    </row>
    <row r="16" customFormat="false" ht="15" hidden="false" customHeight="false" outlineLevel="0" collapsed="false">
      <c r="A16" s="3" t="s">
        <v>77</v>
      </c>
      <c r="B16" s="20" t="n">
        <f aca="false">SUM(B42:E42)</f>
        <v>-94946.375</v>
      </c>
      <c r="C16" s="20" t="n">
        <f aca="false">F42</f>
        <v>11473.975</v>
      </c>
      <c r="D16" s="20" t="n">
        <f aca="false">H42</f>
        <v>6073.975</v>
      </c>
      <c r="E16" s="20" t="n">
        <f aca="false">G43</f>
        <v>-71998.425</v>
      </c>
    </row>
    <row r="18" customFormat="false" ht="15" hidden="false" customHeight="false" outlineLevel="0" collapsed="false">
      <c r="A18" s="2" t="s">
        <v>78</v>
      </c>
      <c r="B18" s="2"/>
      <c r="C18" s="2"/>
      <c r="D18" s="2"/>
      <c r="E18" s="2"/>
      <c r="F18" s="2"/>
      <c r="G18" s="2"/>
      <c r="H18" s="2"/>
    </row>
    <row r="20" customFormat="false" ht="15" hidden="false" customHeight="false" outlineLevel="0" collapsed="false">
      <c r="A20" s="9" t="s">
        <v>79</v>
      </c>
      <c r="B20" s="10" t="s">
        <v>80</v>
      </c>
      <c r="C20" s="10" t="s">
        <v>81</v>
      </c>
      <c r="D20" s="10" t="s">
        <v>82</v>
      </c>
      <c r="E20" s="10" t="s">
        <v>83</v>
      </c>
      <c r="F20" s="10" t="s">
        <v>13</v>
      </c>
      <c r="G20" s="10" t="s">
        <v>14</v>
      </c>
      <c r="H20" s="10" t="s">
        <v>84</v>
      </c>
    </row>
    <row r="21" customFormat="false" ht="15" hidden="false" customHeight="false" outlineLevel="0" collapsed="false">
      <c r="A21" s="4" t="s">
        <v>85</v>
      </c>
      <c r="B21" s="17" t="n">
        <f aca="false">'Cost Forecast'!B28</f>
        <v>0</v>
      </c>
      <c r="C21" s="17" t="n">
        <f aca="false">'Cost Forecast'!C28</f>
        <v>15000</v>
      </c>
      <c r="D21" s="17" t="n">
        <f aca="false">'Cost Forecast'!D28</f>
        <v>25000</v>
      </c>
      <c r="E21" s="17" t="n">
        <f aca="false">'Cost Forecast'!E28</f>
        <v>29000</v>
      </c>
      <c r="F21" s="17" t="n">
        <f aca="false">'Cost Forecast'!F28</f>
        <v>0</v>
      </c>
      <c r="G21" s="17" t="n">
        <f aca="false">'Cost Forecast'!G28</f>
        <v>0</v>
      </c>
      <c r="H21" s="17" t="n">
        <f aca="false">'Cost Forecast'!H28</f>
        <v>0</v>
      </c>
    </row>
    <row r="22" customFormat="false" ht="15" hidden="false" customHeight="false" outlineLevel="0" collapsed="false">
      <c r="A22" s="4" t="s">
        <v>86</v>
      </c>
      <c r="B22" s="21" t="n">
        <f aca="false">B21/$B$6</f>
        <v>0</v>
      </c>
      <c r="C22" s="21" t="n">
        <f aca="false">C21/$B$6</f>
        <v>750</v>
      </c>
      <c r="D22" s="21" t="n">
        <f aca="false">D21/$B$6</f>
        <v>1250</v>
      </c>
      <c r="E22" s="21" t="n">
        <f aca="false">E21/$B$6</f>
        <v>1450</v>
      </c>
      <c r="F22" s="21" t="n">
        <f aca="false">F21/$B$6</f>
        <v>0</v>
      </c>
      <c r="G22" s="21" t="n">
        <f aca="false">G21/$B$6</f>
        <v>0</v>
      </c>
      <c r="H22" s="21" t="n">
        <f aca="false">H21/$B$6</f>
        <v>0</v>
      </c>
    </row>
    <row r="23" customFormat="false" ht="15" hidden="false" customHeight="false" outlineLevel="0" collapsed="false">
      <c r="A23" s="4" t="s">
        <v>87</v>
      </c>
      <c r="B23" s="21" t="n">
        <f aca="false">B22</f>
        <v>0</v>
      </c>
      <c r="C23" s="21" t="n">
        <f aca="false">B23+C22</f>
        <v>750</v>
      </c>
      <c r="D23" s="21" t="n">
        <f aca="false">C23+D22</f>
        <v>2000</v>
      </c>
      <c r="E23" s="21" t="n">
        <f aca="false">D23+E22</f>
        <v>3450</v>
      </c>
      <c r="F23" s="21" t="n">
        <f aca="false">E23+F22</f>
        <v>3450</v>
      </c>
      <c r="G23" s="21" t="n">
        <f aca="false">F23+G22</f>
        <v>3450</v>
      </c>
      <c r="H23" s="21" t="n">
        <f aca="false">G23+H22</f>
        <v>3450</v>
      </c>
    </row>
    <row r="25" customFormat="false" ht="15" hidden="false" customHeight="false" outlineLevel="0" collapsed="false">
      <c r="A25" s="18" t="s">
        <v>88</v>
      </c>
      <c r="B25" s="19"/>
      <c r="C25" s="19"/>
      <c r="D25" s="19"/>
      <c r="E25" s="19"/>
      <c r="F25" s="19"/>
      <c r="G25" s="19"/>
      <c r="H25" s="19"/>
    </row>
    <row r="26" customFormat="false" ht="15" hidden="false" customHeight="false" outlineLevel="0" collapsed="false">
      <c r="A26" s="4" t="s">
        <v>89</v>
      </c>
      <c r="B26" s="21" t="n">
        <f aca="false">0</f>
        <v>0</v>
      </c>
      <c r="C26" s="21" t="n">
        <f aca="false">C22+$B$9*B23</f>
        <v>750</v>
      </c>
      <c r="D26" s="21" t="n">
        <f aca="false">D22+$B$9*C23</f>
        <v>1460</v>
      </c>
      <c r="E26" s="21" t="n">
        <f aca="false">E22+$B$9*D23</f>
        <v>2010</v>
      </c>
      <c r="F26" s="21" t="n">
        <f aca="false">$B$9*$E$23</f>
        <v>966</v>
      </c>
      <c r="G26" s="21" t="n">
        <f aca="false">$B$9*$E$23</f>
        <v>966</v>
      </c>
      <c r="H26" s="21" t="n">
        <f aca="false">$B$9*$E$23</f>
        <v>966</v>
      </c>
    </row>
    <row r="27" customFormat="false" ht="15" hidden="false" customHeight="false" outlineLevel="0" collapsed="false">
      <c r="A27" s="4" t="s">
        <v>90</v>
      </c>
      <c r="B27" s="6" t="n">
        <f aca="false">B26*$B$5</f>
        <v>0</v>
      </c>
      <c r="C27" s="6" t="n">
        <f aca="false">C26*$B$5</f>
        <v>22500</v>
      </c>
      <c r="D27" s="6" t="n">
        <f aca="false">D26*$B$5</f>
        <v>43800</v>
      </c>
      <c r="E27" s="6" t="n">
        <f aca="false">E26*$B$5</f>
        <v>60300</v>
      </c>
      <c r="F27" s="6" t="n">
        <f aca="false">F26*$B$5</f>
        <v>28980</v>
      </c>
      <c r="G27" s="6" t="n">
        <f aca="false">G26*$B$5</f>
        <v>28980</v>
      </c>
      <c r="H27" s="6" t="n">
        <f aca="false">H26*$B$5</f>
        <v>28980</v>
      </c>
    </row>
    <row r="28" customFormat="false" ht="15" hidden="false" customHeight="false" outlineLevel="0" collapsed="false">
      <c r="A28" s="4" t="s">
        <v>91</v>
      </c>
      <c r="B28" s="6" t="n">
        <f aca="false">B27*($B$7-1)</f>
        <v>-0</v>
      </c>
      <c r="C28" s="6" t="n">
        <f aca="false">C27*($B$7-1)</f>
        <v>-5625</v>
      </c>
      <c r="D28" s="6" t="n">
        <f aca="false">D27*($B$7-1)</f>
        <v>-10950</v>
      </c>
      <c r="E28" s="6" t="n">
        <f aca="false">E27*($B$7-1)</f>
        <v>-15075</v>
      </c>
      <c r="F28" s="6" t="n">
        <f aca="false">F27*($B$7-1)</f>
        <v>-7245</v>
      </c>
      <c r="G28" s="6" t="n">
        <f aca="false">G27*($B$7-1)</f>
        <v>-7245</v>
      </c>
      <c r="H28" s="6" t="n">
        <f aca="false">H27*($B$7-1)</f>
        <v>-7245</v>
      </c>
    </row>
    <row r="29" customFormat="false" ht="15" hidden="false" customHeight="false" outlineLevel="0" collapsed="false">
      <c r="A29" s="4" t="s">
        <v>92</v>
      </c>
      <c r="B29" s="6" t="n">
        <f aca="false">B27*$B$7</f>
        <v>0</v>
      </c>
      <c r="C29" s="6" t="n">
        <f aca="false">C27*$B$7</f>
        <v>16875</v>
      </c>
      <c r="D29" s="6" t="n">
        <f aca="false">D27*$B$7</f>
        <v>32850</v>
      </c>
      <c r="E29" s="6" t="n">
        <f aca="false">E27*$B$7</f>
        <v>45225</v>
      </c>
      <c r="F29" s="6" t="n">
        <f aca="false">F27*$B$7</f>
        <v>21735</v>
      </c>
      <c r="G29" s="6" t="n">
        <f aca="false">G27*$B$7</f>
        <v>21735</v>
      </c>
      <c r="H29" s="6" t="n">
        <f aca="false">H27*$B$7</f>
        <v>21735</v>
      </c>
    </row>
    <row r="30" customFormat="false" ht="15" hidden="false" customHeight="false" outlineLevel="0" collapsed="false">
      <c r="A30" s="4" t="s">
        <v>93</v>
      </c>
      <c r="B30" s="6" t="n">
        <f aca="false">B27*$B$8</f>
        <v>0</v>
      </c>
      <c r="C30" s="6" t="n">
        <f aca="false">C27*$B$8</f>
        <v>11587.5</v>
      </c>
      <c r="D30" s="6" t="n">
        <f aca="false">D27*$B$8</f>
        <v>22557</v>
      </c>
      <c r="E30" s="6" t="n">
        <f aca="false">E27*$B$8</f>
        <v>31054.5</v>
      </c>
      <c r="F30" s="6" t="n">
        <f aca="false">F27*$B$8</f>
        <v>14924.7</v>
      </c>
      <c r="G30" s="6" t="n">
        <f aca="false">G27*$B$8</f>
        <v>14924.7</v>
      </c>
      <c r="H30" s="6" t="n">
        <f aca="false">H27*$B$8</f>
        <v>14924.7</v>
      </c>
    </row>
    <row r="31" customFormat="false" ht="15" hidden="false" customHeight="false" outlineLevel="0" collapsed="false">
      <c r="A31" s="4" t="s">
        <v>94</v>
      </c>
      <c r="B31" s="17" t="n">
        <f aca="false">'Cost Forecast'!B32</f>
        <v>27667</v>
      </c>
      <c r="C31" s="17" t="n">
        <f aca="false">'Cost Forecast'!C32</f>
        <v>53184</v>
      </c>
      <c r="D31" s="17" t="n">
        <f aca="false">'Cost Forecast'!D32</f>
        <v>39684</v>
      </c>
      <c r="E31" s="17" t="n">
        <f aca="false">'Cost Forecast'!E32</f>
        <v>44284</v>
      </c>
      <c r="F31" s="17" t="n">
        <f aca="false">'Cost Forecast'!F32</f>
        <v>9314</v>
      </c>
      <c r="G31" s="17" t="n">
        <f aca="false">'Cost Forecast'!G32</f>
        <v>9314</v>
      </c>
      <c r="H31" s="17" t="n">
        <f aca="false">'Cost Forecast'!H32</f>
        <v>14714</v>
      </c>
    </row>
    <row r="32" customFormat="false" ht="15" hidden="false" customHeight="false" outlineLevel="0" collapsed="false">
      <c r="A32" s="3" t="s">
        <v>95</v>
      </c>
      <c r="B32" s="20" t="n">
        <f aca="false">B30-B31</f>
        <v>-27667</v>
      </c>
      <c r="C32" s="20" t="n">
        <f aca="false">C30-C31</f>
        <v>-41596.5</v>
      </c>
      <c r="D32" s="20" t="n">
        <f aca="false">D30-D31</f>
        <v>-17127</v>
      </c>
      <c r="E32" s="20" t="n">
        <f aca="false">E30-E31</f>
        <v>-13229.5</v>
      </c>
      <c r="F32" s="20" t="n">
        <f aca="false">F30-F31</f>
        <v>5610.7</v>
      </c>
      <c r="G32" s="20" t="n">
        <f aca="false">G30-G31</f>
        <v>5610.7</v>
      </c>
      <c r="H32" s="20" t="n">
        <f aca="false">H30-H31</f>
        <v>210.700000000003</v>
      </c>
    </row>
    <row r="33" customFormat="false" ht="15" hidden="false" customHeight="false" outlineLevel="0" collapsed="false">
      <c r="A33" s="3" t="s">
        <v>96</v>
      </c>
      <c r="B33" s="22" t="n">
        <f aca="false">B32</f>
        <v>-27667</v>
      </c>
      <c r="C33" s="20" t="n">
        <f aca="false">B33+C32</f>
        <v>-69263.5</v>
      </c>
      <c r="D33" s="20" t="n">
        <f aca="false">C33+D32</f>
        <v>-86390.5</v>
      </c>
      <c r="E33" s="20" t="n">
        <f aca="false">D33+E32</f>
        <v>-99620</v>
      </c>
      <c r="F33" s="20" t="n">
        <f aca="false">E33+F32</f>
        <v>-94009.3</v>
      </c>
      <c r="G33" s="20" t="n">
        <f aca="false">F33+G32</f>
        <v>-88398.6</v>
      </c>
      <c r="H33" s="23" t="s">
        <v>97</v>
      </c>
    </row>
    <row r="35" customFormat="false" ht="15" hidden="false" customHeight="false" outlineLevel="0" collapsed="false">
      <c r="A35" s="18" t="s">
        <v>98</v>
      </c>
      <c r="B35" s="19"/>
      <c r="C35" s="19"/>
      <c r="D35" s="19"/>
      <c r="E35" s="19"/>
      <c r="F35" s="19"/>
      <c r="G35" s="19"/>
      <c r="H35" s="19"/>
    </row>
    <row r="36" customFormat="false" ht="15" hidden="false" customHeight="false" outlineLevel="0" collapsed="false">
      <c r="A36" s="4" t="s">
        <v>89</v>
      </c>
      <c r="B36" s="21" t="n">
        <f aca="false">0</f>
        <v>0</v>
      </c>
      <c r="C36" s="21" t="n">
        <f aca="false">C22+$B$10*B23</f>
        <v>750</v>
      </c>
      <c r="D36" s="21" t="n">
        <f aca="false">D22+$B$10*C23</f>
        <v>1542.5</v>
      </c>
      <c r="E36" s="21" t="n">
        <f aca="false">E22+$B$10*D23</f>
        <v>2230</v>
      </c>
      <c r="F36" s="21" t="n">
        <f aca="false">$B$10*$E$23</f>
        <v>1345.5</v>
      </c>
      <c r="G36" s="21" t="n">
        <f aca="false">$B$10*$E$23</f>
        <v>1345.5</v>
      </c>
      <c r="H36" s="21" t="n">
        <f aca="false">$B$10*$E$23</f>
        <v>1345.5</v>
      </c>
    </row>
    <row r="37" customFormat="false" ht="15" hidden="false" customHeight="false" outlineLevel="0" collapsed="false">
      <c r="A37" s="4" t="s">
        <v>90</v>
      </c>
      <c r="B37" s="6" t="n">
        <f aca="false">B36*$B$5</f>
        <v>0</v>
      </c>
      <c r="C37" s="6" t="n">
        <f aca="false">C36*$B$5</f>
        <v>22500</v>
      </c>
      <c r="D37" s="6" t="n">
        <f aca="false">D36*$B$5</f>
        <v>46275</v>
      </c>
      <c r="E37" s="6" t="n">
        <f aca="false">E36*$B$5</f>
        <v>66900</v>
      </c>
      <c r="F37" s="6" t="n">
        <f aca="false">F36*$B$5</f>
        <v>40365</v>
      </c>
      <c r="G37" s="6" t="n">
        <f aca="false">G36*$B$5</f>
        <v>40365</v>
      </c>
      <c r="H37" s="6" t="n">
        <f aca="false">H36*$B$5</f>
        <v>40365</v>
      </c>
    </row>
    <row r="38" customFormat="false" ht="15" hidden="false" customHeight="false" outlineLevel="0" collapsed="false">
      <c r="A38" s="4" t="s">
        <v>91</v>
      </c>
      <c r="B38" s="6" t="n">
        <f aca="false">B37*($B$7-1)</f>
        <v>-0</v>
      </c>
      <c r="C38" s="6" t="n">
        <f aca="false">C37*($B$7-1)</f>
        <v>-5625</v>
      </c>
      <c r="D38" s="6" t="n">
        <f aca="false">D37*($B$7-1)</f>
        <v>-11568.75</v>
      </c>
      <c r="E38" s="6" t="n">
        <f aca="false">E37*($B$7-1)</f>
        <v>-16725</v>
      </c>
      <c r="F38" s="6" t="n">
        <f aca="false">F37*($B$7-1)</f>
        <v>-10091.25</v>
      </c>
      <c r="G38" s="6" t="n">
        <f aca="false">G37*($B$7-1)</f>
        <v>-10091.25</v>
      </c>
      <c r="H38" s="6" t="n">
        <f aca="false">H37*($B$7-1)</f>
        <v>-10091.25</v>
      </c>
    </row>
    <row r="39" customFormat="false" ht="15" hidden="false" customHeight="false" outlineLevel="0" collapsed="false">
      <c r="A39" s="4" t="s">
        <v>92</v>
      </c>
      <c r="B39" s="6" t="n">
        <f aca="false">B37*$B$7</f>
        <v>0</v>
      </c>
      <c r="C39" s="6" t="n">
        <f aca="false">C37*$B$7</f>
        <v>16875</v>
      </c>
      <c r="D39" s="6" t="n">
        <f aca="false">D37*$B$7</f>
        <v>34706.25</v>
      </c>
      <c r="E39" s="6" t="n">
        <f aca="false">E37*$B$7</f>
        <v>50175</v>
      </c>
      <c r="F39" s="6" t="n">
        <f aca="false">F37*$B$7</f>
        <v>30273.75</v>
      </c>
      <c r="G39" s="6" t="n">
        <f aca="false">G37*$B$7</f>
        <v>30273.75</v>
      </c>
      <c r="H39" s="6" t="n">
        <f aca="false">H37*$B$7</f>
        <v>30273.75</v>
      </c>
    </row>
    <row r="40" customFormat="false" ht="15" hidden="false" customHeight="false" outlineLevel="0" collapsed="false">
      <c r="A40" s="4" t="s">
        <v>93</v>
      </c>
      <c r="B40" s="6" t="n">
        <f aca="false">B37*$B$8</f>
        <v>0</v>
      </c>
      <c r="C40" s="6" t="n">
        <f aca="false">C37*$B$8</f>
        <v>11587.5</v>
      </c>
      <c r="D40" s="6" t="n">
        <f aca="false">D37*$B$8</f>
        <v>23831.625</v>
      </c>
      <c r="E40" s="6" t="n">
        <f aca="false">E37*$B$8</f>
        <v>34453.5</v>
      </c>
      <c r="F40" s="6" t="n">
        <f aca="false">F37*$B$8</f>
        <v>20787.975</v>
      </c>
      <c r="G40" s="6" t="n">
        <f aca="false">G37*$B$8</f>
        <v>20787.975</v>
      </c>
      <c r="H40" s="6" t="n">
        <f aca="false">H37*$B$8</f>
        <v>20787.975</v>
      </c>
    </row>
    <row r="41" customFormat="false" ht="15" hidden="false" customHeight="false" outlineLevel="0" collapsed="false">
      <c r="A41" s="4" t="s">
        <v>94</v>
      </c>
      <c r="B41" s="17" t="n">
        <f aca="false">'Cost Forecast'!B32</f>
        <v>27667</v>
      </c>
      <c r="C41" s="17" t="n">
        <f aca="false">'Cost Forecast'!C32</f>
        <v>53184</v>
      </c>
      <c r="D41" s="17" t="n">
        <f aca="false">'Cost Forecast'!D32</f>
        <v>39684</v>
      </c>
      <c r="E41" s="17" t="n">
        <f aca="false">'Cost Forecast'!E32</f>
        <v>44284</v>
      </c>
      <c r="F41" s="17" t="n">
        <f aca="false">'Cost Forecast'!F32</f>
        <v>9314</v>
      </c>
      <c r="G41" s="17" t="n">
        <f aca="false">'Cost Forecast'!G32</f>
        <v>9314</v>
      </c>
      <c r="H41" s="17" t="n">
        <f aca="false">'Cost Forecast'!H32</f>
        <v>14714</v>
      </c>
    </row>
    <row r="42" customFormat="false" ht="15" hidden="false" customHeight="false" outlineLevel="0" collapsed="false">
      <c r="A42" s="3" t="s">
        <v>95</v>
      </c>
      <c r="B42" s="20" t="n">
        <f aca="false">B40-B41</f>
        <v>-27667</v>
      </c>
      <c r="C42" s="20" t="n">
        <f aca="false">C40-C41</f>
        <v>-41596.5</v>
      </c>
      <c r="D42" s="20" t="n">
        <f aca="false">D40-D41</f>
        <v>-15852.375</v>
      </c>
      <c r="E42" s="20" t="n">
        <f aca="false">E40-E41</f>
        <v>-9830.5</v>
      </c>
      <c r="F42" s="20" t="n">
        <f aca="false">F40-F41</f>
        <v>11473.975</v>
      </c>
      <c r="G42" s="20" t="n">
        <f aca="false">G40-G41</f>
        <v>11473.975</v>
      </c>
      <c r="H42" s="20" t="n">
        <f aca="false">H40-H41</f>
        <v>6073.975</v>
      </c>
    </row>
    <row r="43" customFormat="false" ht="15" hidden="false" customHeight="false" outlineLevel="0" collapsed="false">
      <c r="A43" s="3" t="s">
        <v>96</v>
      </c>
      <c r="B43" s="22" t="n">
        <f aca="false">B42</f>
        <v>-27667</v>
      </c>
      <c r="C43" s="20" t="n">
        <f aca="false">B43+C42</f>
        <v>-69263.5</v>
      </c>
      <c r="D43" s="20" t="n">
        <f aca="false">C43+D42</f>
        <v>-85115.875</v>
      </c>
      <c r="E43" s="20" t="n">
        <f aca="false">D43+E42</f>
        <v>-94946.375</v>
      </c>
      <c r="F43" s="20" t="n">
        <f aca="false">E43+F42</f>
        <v>-83472.4</v>
      </c>
      <c r="G43" s="20" t="n">
        <f aca="false">F43+G42</f>
        <v>-71998.425</v>
      </c>
      <c r="H43" s="23" t="s">
        <v>97</v>
      </c>
    </row>
    <row r="46" customFormat="false" ht="15" hidden="false" customHeight="false" outlineLevel="0" collapsed="false">
      <c r="A46" s="3" t="s">
        <v>99</v>
      </c>
    </row>
    <row r="47" customFormat="false" ht="15" hidden="false" customHeight="false" outlineLevel="0" collapsed="false">
      <c r="A47" s="24" t="s">
        <v>100</v>
      </c>
      <c r="B47" s="24" t="s">
        <v>101</v>
      </c>
      <c r="C47" s="24" t="s">
        <v>102</v>
      </c>
      <c r="D47" s="24" t="s">
        <v>103</v>
      </c>
      <c r="E47" s="24" t="s">
        <v>104</v>
      </c>
      <c r="F47" s="24" t="s">
        <v>105</v>
      </c>
    </row>
    <row r="48" customFormat="false" ht="15" hidden="false" customHeight="false" outlineLevel="0" collapsed="false">
      <c r="A48" s="16" t="n">
        <v>0.15</v>
      </c>
      <c r="B48" s="21" t="n">
        <f aca="false">A48*$E$23</f>
        <v>517.5</v>
      </c>
      <c r="C48" s="6" t="n">
        <f aca="false">B48*$B$5</f>
        <v>15525</v>
      </c>
      <c r="D48" s="6" t="n">
        <f aca="false">C48*$B$8</f>
        <v>7995.375</v>
      </c>
      <c r="E48" s="25" t="n">
        <f aca="false">D48-$B$11</f>
        <v>-6718.625</v>
      </c>
      <c r="F48" s="4" t="s">
        <v>106</v>
      </c>
    </row>
    <row r="49" customFormat="false" ht="15" hidden="false" customHeight="false" outlineLevel="0" collapsed="false">
      <c r="A49" s="16" t="n">
        <v>0.25</v>
      </c>
      <c r="B49" s="21" t="n">
        <f aca="false">A49*$E$23</f>
        <v>862.5</v>
      </c>
      <c r="C49" s="6" t="n">
        <f aca="false">B49*$B$5</f>
        <v>25875</v>
      </c>
      <c r="D49" s="6" t="n">
        <f aca="false">C49*$B$8</f>
        <v>13325.625</v>
      </c>
      <c r="E49" s="25" t="n">
        <f aca="false">D49-$B$11</f>
        <v>-1388.375</v>
      </c>
      <c r="F49" s="4" t="s">
        <v>107</v>
      </c>
    </row>
    <row r="50" customFormat="false" ht="15" hidden="false" customHeight="false" outlineLevel="0" collapsed="false">
      <c r="A50" s="16" t="n">
        <v>0.28</v>
      </c>
      <c r="B50" s="21" t="n">
        <f aca="false">A50*$E$23</f>
        <v>966</v>
      </c>
      <c r="C50" s="6" t="n">
        <f aca="false">B50*$B$5</f>
        <v>28980</v>
      </c>
      <c r="D50" s="6" t="n">
        <f aca="false">C50*$B$8</f>
        <v>14924.7</v>
      </c>
      <c r="E50" s="25" t="n">
        <f aca="false">D50-$B$11</f>
        <v>210.700000000003</v>
      </c>
      <c r="F50" s="4" t="s">
        <v>108</v>
      </c>
    </row>
    <row r="51" customFormat="false" ht="15" hidden="false" customHeight="false" outlineLevel="0" collapsed="false">
      <c r="A51" s="16" t="n">
        <v>0.39</v>
      </c>
      <c r="B51" s="21" t="n">
        <f aca="false">A51*$E$23</f>
        <v>1345.5</v>
      </c>
      <c r="C51" s="6" t="n">
        <f aca="false">B51*$B$5</f>
        <v>40365</v>
      </c>
      <c r="D51" s="6" t="n">
        <f aca="false">C51*$B$8</f>
        <v>20787.975</v>
      </c>
      <c r="E51" s="25" t="n">
        <f aca="false">D51-$B$11</f>
        <v>6073.975</v>
      </c>
      <c r="F51" s="4" t="s">
        <v>109</v>
      </c>
    </row>
    <row r="54" customFormat="false" ht="15" hidden="false" customHeight="false" outlineLevel="0" collapsed="false">
      <c r="A54" s="3" t="s">
        <v>110</v>
      </c>
      <c r="B54" s="6" t="n">
        <f aca="false">B11/B8</f>
        <v>28570.8737864078</v>
      </c>
    </row>
  </sheetData>
  <mergeCells count="3">
    <mergeCell ref="A1:H1"/>
    <mergeCell ref="A2:H2"/>
    <mergeCell ref="A18:H18"/>
  </mergeCells>
  <conditionalFormatting sqref="B32:H32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conditionalFormatting sqref="B33:G33">
    <cfRule type="cellIs" priority="4" operator="greaterThan" aboveAverage="0" equalAverage="0" bottom="0" percent="0" rank="0" text="" dxfId="0">
      <formula>0</formula>
    </cfRule>
    <cfRule type="cellIs" priority="5" operator="lessThan" aboveAverage="0" equalAverage="0" bottom="0" percent="0" rank="0" text="" dxfId="1">
      <formula>0</formula>
    </cfRule>
  </conditionalFormatting>
  <conditionalFormatting sqref="B42:H42">
    <cfRule type="cellIs" priority="6" operator="greaterThan" aboveAverage="0" equalAverage="0" bottom="0" percent="0" rank="0" text="" dxfId="0">
      <formula>0</formula>
    </cfRule>
    <cfRule type="cellIs" priority="7" operator="lessThan" aboveAverage="0" equalAverage="0" bottom="0" percent="0" rank="0" text="" dxfId="1">
      <formula>0</formula>
    </cfRule>
  </conditionalFormatting>
  <conditionalFormatting sqref="B43:G43">
    <cfRule type="cellIs" priority="8" operator="greaterThan" aboveAverage="0" equalAverage="0" bottom="0" percent="0" rank="0" text="" dxfId="0">
      <formula>0</formula>
    </cfRule>
    <cfRule type="cellIs" priority="9" operator="lessThan" aboveAverage="0" equalAverage="0" bottom="0" percent="0" rank="0" text="" dxfId="1">
      <formula>0</formula>
    </cfRule>
  </conditionalFormatting>
  <conditionalFormatting sqref="B15:E16">
    <cfRule type="cellIs" priority="10" operator="greaterThan" aboveAverage="0" equalAverage="0" bottom="0" percent="0" rank="0" text="" dxfId="0">
      <formula>0</formula>
    </cfRule>
    <cfRule type="cellIs" priority="11" operator="lessThan" aboveAverage="0" equalAverage="0" bottom="0" percent="0" rank="0" text="" dxfId="1">
      <formula>0</formula>
    </cfRule>
  </conditionalFormatting>
  <conditionalFormatting sqref="E48:E51">
    <cfRule type="cellIs" priority="12" operator="greaterThan" aboveAverage="0" equalAverage="0" bottom="0" percent="0" rank="0" text="" dxfId="0">
      <formula>0</formula>
    </cfRule>
    <cfRule type="cellIs" priority="13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9"/>
    <col collapsed="false" customWidth="true" hidden="false" outlineLevel="0" max="3" min="3" style="0" width="17"/>
    <col collapsed="false" customWidth="true" hidden="false" outlineLevel="0" max="4" min="4" style="0" width="22"/>
    <col collapsed="false" customWidth="true" hidden="false" outlineLevel="0" max="5" min="5" style="0" width="15"/>
    <col collapsed="false" customWidth="true" hidden="false" outlineLevel="0" max="6" min="6" style="0" width="52"/>
  </cols>
  <sheetData>
    <row r="1" customFormat="false" ht="17.35" hidden="false" customHeight="false" outlineLevel="0" collapsed="false">
      <c r="A1" s="1" t="s">
        <v>111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112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9" t="s">
        <v>8</v>
      </c>
      <c r="B4" s="9" t="s">
        <v>113</v>
      </c>
      <c r="C4" s="10" t="s">
        <v>114</v>
      </c>
      <c r="D4" s="10" t="s">
        <v>115</v>
      </c>
      <c r="E4" s="10" t="s">
        <v>116</v>
      </c>
      <c r="F4" s="9" t="s">
        <v>117</v>
      </c>
    </row>
    <row r="5" customFormat="false" ht="15" hidden="false" customHeight="false" outlineLevel="0" collapsed="false">
      <c r="A5" s="3" t="s">
        <v>118</v>
      </c>
      <c r="B5" s="23" t="s">
        <v>119</v>
      </c>
      <c r="D5" s="8" t="n">
        <v>28500</v>
      </c>
      <c r="E5" s="8" t="n">
        <v>100000</v>
      </c>
      <c r="F5" s="23" t="s">
        <v>120</v>
      </c>
    </row>
    <row r="6" customFormat="false" ht="15" hidden="false" customHeight="false" outlineLevel="0" collapsed="false">
      <c r="A6" s="4" t="s">
        <v>121</v>
      </c>
      <c r="B6" s="26" t="s">
        <v>122</v>
      </c>
      <c r="C6" s="16" t="n">
        <v>0.25</v>
      </c>
      <c r="D6" s="27" t="n">
        <f aca="false">-D$5*$C6</f>
        <v>-7125</v>
      </c>
      <c r="E6" s="27" t="n">
        <f aca="false">-E$5*$C6</f>
        <v>-25000</v>
      </c>
      <c r="F6" s="23" t="s">
        <v>123</v>
      </c>
    </row>
    <row r="7" customFormat="false" ht="15" hidden="false" customHeight="false" outlineLevel="0" collapsed="false">
      <c r="A7" s="3" t="s">
        <v>124</v>
      </c>
      <c r="D7" s="27" t="n">
        <f aca="false">D5+D6</f>
        <v>21375</v>
      </c>
      <c r="E7" s="27" t="n">
        <f aca="false">E5+E6</f>
        <v>75000</v>
      </c>
      <c r="F7" s="23" t="s">
        <v>125</v>
      </c>
    </row>
    <row r="8" customFormat="false" ht="15" hidden="false" customHeight="false" outlineLevel="0" collapsed="false">
      <c r="A8" s="4" t="s">
        <v>126</v>
      </c>
      <c r="B8" s="26" t="s">
        <v>122</v>
      </c>
      <c r="C8" s="16" t="n">
        <v>0.105</v>
      </c>
      <c r="D8" s="27" t="n">
        <f aca="false">-D$5*$C8</f>
        <v>-2992.5</v>
      </c>
      <c r="E8" s="27" t="n">
        <f aca="false">-E$5*$C8</f>
        <v>-10500</v>
      </c>
      <c r="F8" s="23" t="s">
        <v>127</v>
      </c>
    </row>
    <row r="9" customFormat="false" ht="15" hidden="false" customHeight="false" outlineLevel="0" collapsed="false">
      <c r="A9" s="4" t="s">
        <v>128</v>
      </c>
      <c r="B9" s="26" t="s">
        <v>122</v>
      </c>
      <c r="C9" s="16" t="n">
        <v>0.03</v>
      </c>
      <c r="D9" s="27" t="n">
        <f aca="false">-D$5*$C9</f>
        <v>-855</v>
      </c>
      <c r="E9" s="27" t="n">
        <f aca="false">-E$5*$C9</f>
        <v>-3000</v>
      </c>
      <c r="F9" s="23" t="s">
        <v>129</v>
      </c>
    </row>
    <row r="10" customFormat="false" ht="15" hidden="false" customHeight="false" outlineLevel="0" collapsed="false">
      <c r="A10" s="4" t="s">
        <v>130</v>
      </c>
      <c r="B10" s="26" t="s">
        <v>122</v>
      </c>
      <c r="C10" s="16" t="n">
        <v>0.05</v>
      </c>
      <c r="D10" s="27" t="n">
        <f aca="false">-D$5*$C10</f>
        <v>-1425</v>
      </c>
      <c r="E10" s="27" t="n">
        <f aca="false">-E$5*$C10</f>
        <v>-5000</v>
      </c>
      <c r="F10" s="23" t="s">
        <v>131</v>
      </c>
    </row>
    <row r="11" customFormat="false" ht="15" hidden="false" customHeight="false" outlineLevel="0" collapsed="false">
      <c r="A11" s="4" t="s">
        <v>132</v>
      </c>
      <c r="B11" s="26" t="s">
        <v>122</v>
      </c>
      <c r="C11" s="16" t="n">
        <v>0.05</v>
      </c>
      <c r="D11" s="27" t="n">
        <f aca="false">-D$5*$C11</f>
        <v>-1425</v>
      </c>
      <c r="E11" s="27" t="n">
        <f aca="false">-E$5*$C11</f>
        <v>-5000</v>
      </c>
      <c r="F11" s="23" t="s">
        <v>133</v>
      </c>
    </row>
    <row r="12" customFormat="false" ht="15" hidden="false" customHeight="false" outlineLevel="0" collapsed="false">
      <c r="A12" s="18" t="s">
        <v>134</v>
      </c>
      <c r="B12" s="19"/>
      <c r="C12" s="28" t="n">
        <f aca="false">1-C6-C8-C9-C10-C11</f>
        <v>0.515</v>
      </c>
      <c r="D12" s="15" t="n">
        <f aca="false">D5*$C12</f>
        <v>14677.5</v>
      </c>
      <c r="E12" s="15" t="n">
        <f aca="false">E5*$C12</f>
        <v>51500</v>
      </c>
      <c r="F12" s="29" t="s">
        <v>135</v>
      </c>
    </row>
    <row r="13" customFormat="false" ht="15" hidden="false" customHeight="false" outlineLevel="0" collapsed="false">
      <c r="A13" s="4" t="s">
        <v>136</v>
      </c>
      <c r="B13" s="30" t="s">
        <v>137</v>
      </c>
      <c r="C13" s="11" t="n">
        <v>5000</v>
      </c>
      <c r="D13" s="27" t="n">
        <f aca="false">-$C13</f>
        <v>-5000</v>
      </c>
      <c r="E13" s="27" t="n">
        <f aca="false">-$C13</f>
        <v>-5000</v>
      </c>
      <c r="F13" s="23" t="s">
        <v>138</v>
      </c>
    </row>
    <row r="14" customFormat="false" ht="15" hidden="false" customHeight="false" outlineLevel="0" collapsed="false">
      <c r="A14" s="4" t="s">
        <v>139</v>
      </c>
      <c r="B14" s="30" t="s">
        <v>137</v>
      </c>
      <c r="C14" s="11" t="n">
        <v>1143</v>
      </c>
      <c r="D14" s="27" t="n">
        <f aca="false">-$C14</f>
        <v>-1143</v>
      </c>
      <c r="E14" s="27" t="n">
        <f aca="false">-$C14</f>
        <v>-1143</v>
      </c>
      <c r="F14" s="23" t="s">
        <v>140</v>
      </c>
    </row>
    <row r="15" customFormat="false" ht="15" hidden="false" customHeight="false" outlineLevel="0" collapsed="false">
      <c r="A15" s="4" t="s">
        <v>141</v>
      </c>
      <c r="B15" s="30" t="s">
        <v>137</v>
      </c>
      <c r="C15" s="11" t="n">
        <v>1836</v>
      </c>
      <c r="D15" s="27" t="n">
        <f aca="false">-$C15</f>
        <v>-1836</v>
      </c>
      <c r="E15" s="27" t="n">
        <f aca="false">-$C15</f>
        <v>-1836</v>
      </c>
      <c r="F15" s="23" t="s">
        <v>142</v>
      </c>
    </row>
    <row r="16" customFormat="false" ht="15" hidden="false" customHeight="false" outlineLevel="0" collapsed="false">
      <c r="A16" s="4" t="s">
        <v>143</v>
      </c>
      <c r="B16" s="30" t="s">
        <v>137</v>
      </c>
      <c r="C16" s="11" t="n">
        <v>5400</v>
      </c>
      <c r="D16" s="27" t="n">
        <f aca="false">-$C16</f>
        <v>-5400</v>
      </c>
      <c r="E16" s="27" t="n">
        <f aca="false">-$C16</f>
        <v>-5400</v>
      </c>
      <c r="F16" s="23" t="s">
        <v>144</v>
      </c>
    </row>
    <row r="17" customFormat="false" ht="15" hidden="false" customHeight="false" outlineLevel="0" collapsed="false">
      <c r="A17" s="4" t="s">
        <v>145</v>
      </c>
      <c r="B17" s="30" t="s">
        <v>137</v>
      </c>
      <c r="C17" s="11" t="n">
        <v>1335</v>
      </c>
      <c r="D17" s="27" t="n">
        <f aca="false">-$C17</f>
        <v>-1335</v>
      </c>
      <c r="E17" s="27" t="n">
        <f aca="false">-$C17</f>
        <v>-1335</v>
      </c>
      <c r="F17" s="23" t="s">
        <v>146</v>
      </c>
    </row>
    <row r="18" customFormat="false" ht="15" hidden="false" customHeight="false" outlineLevel="0" collapsed="false">
      <c r="A18" s="3" t="s">
        <v>147</v>
      </c>
      <c r="C18" s="6" t="n">
        <f aca="false">SUM(C13:C17)</f>
        <v>14714</v>
      </c>
      <c r="D18" s="27" t="n">
        <f aca="false">SUM(D13:D17)</f>
        <v>-14714</v>
      </c>
      <c r="E18" s="27" t="n">
        <f aca="false">SUM(E13:E17)</f>
        <v>-14714</v>
      </c>
    </row>
    <row r="19" customFormat="false" ht="15" hidden="false" customHeight="false" outlineLevel="0" collapsed="false">
      <c r="A19" s="18" t="s">
        <v>148</v>
      </c>
      <c r="B19" s="19"/>
      <c r="C19" s="19"/>
      <c r="D19" s="31" t="n">
        <f aca="false">D12+D18</f>
        <v>-36.5000000000036</v>
      </c>
      <c r="E19" s="31" t="n">
        <f aca="false">E12+E18</f>
        <v>36786</v>
      </c>
      <c r="F19" s="29" t="s">
        <v>149</v>
      </c>
    </row>
    <row r="21" customFormat="false" ht="15" hidden="false" customHeight="false" outlineLevel="0" collapsed="false">
      <c r="A21" s="2" t="s">
        <v>150</v>
      </c>
      <c r="B21" s="2"/>
      <c r="C21" s="2"/>
      <c r="D21" s="2"/>
      <c r="E21" s="2"/>
      <c r="F21" s="2"/>
    </row>
    <row r="22" customFormat="false" ht="15" hidden="false" customHeight="false" outlineLevel="0" collapsed="false">
      <c r="A22" s="3" t="s">
        <v>151</v>
      </c>
      <c r="C22" s="6" t="n">
        <f aca="false">C18/C12</f>
        <v>28570.8737864078</v>
      </c>
      <c r="F22" s="23" t="s">
        <v>152</v>
      </c>
    </row>
  </sheetData>
  <mergeCells count="3">
    <mergeCell ref="A1:F1"/>
    <mergeCell ref="A2:F2"/>
    <mergeCell ref="A21:F21"/>
  </mergeCells>
  <conditionalFormatting sqref="D19:E19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6" min="3" style="0" width="15"/>
  </cols>
  <sheetData>
    <row r="1" customFormat="false" ht="17.35" hidden="false" customHeight="false" outlineLevel="0" collapsed="false">
      <c r="A1" s="1" t="s">
        <v>153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154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4" t="s">
        <v>155</v>
      </c>
      <c r="B4" s="7" t="n">
        <v>0.2</v>
      </c>
    </row>
    <row r="6" customFormat="false" ht="15" hidden="false" customHeight="false" outlineLevel="0" collapsed="false">
      <c r="A6" s="9" t="s">
        <v>8</v>
      </c>
      <c r="B6" s="9" t="s">
        <v>156</v>
      </c>
      <c r="C6" s="10" t="s">
        <v>157</v>
      </c>
      <c r="D6" s="10" t="s">
        <v>158</v>
      </c>
      <c r="E6" s="10" t="s">
        <v>159</v>
      </c>
      <c r="F6" s="10" t="s">
        <v>160</v>
      </c>
    </row>
    <row r="7" customFormat="false" ht="15" hidden="false" customHeight="false" outlineLevel="0" collapsed="false">
      <c r="A7" s="3" t="s">
        <v>118</v>
      </c>
      <c r="C7" s="11" t="n">
        <v>100000</v>
      </c>
      <c r="D7" s="11" t="n">
        <v>1000000</v>
      </c>
      <c r="E7" s="11" t="n">
        <v>10000000</v>
      </c>
      <c r="F7" s="11" t="n">
        <v>100000000</v>
      </c>
    </row>
    <row r="8" customFormat="false" ht="15" hidden="false" customHeight="false" outlineLevel="0" collapsed="false">
      <c r="A8" s="4" t="s">
        <v>161</v>
      </c>
      <c r="B8" s="32" t="n">
        <f aca="false">'P&amp;L Cascade'!C6</f>
        <v>0.25</v>
      </c>
      <c r="C8" s="27" t="n">
        <f aca="false">-C$7*$B8</f>
        <v>-25000</v>
      </c>
      <c r="D8" s="27" t="n">
        <f aca="false">-D$7*$B8</f>
        <v>-250000</v>
      </c>
      <c r="E8" s="27" t="n">
        <f aca="false">-E$7*$B8</f>
        <v>-2500000</v>
      </c>
      <c r="F8" s="27" t="n">
        <f aca="false">-F$7*$B8</f>
        <v>-25000000</v>
      </c>
    </row>
    <row r="9" customFormat="false" ht="15" hidden="false" customHeight="false" outlineLevel="0" collapsed="false">
      <c r="A9" s="4" t="s">
        <v>162</v>
      </c>
      <c r="B9" s="32" t="n">
        <f aca="false">'P&amp;L Cascade'!C8</f>
        <v>0.105</v>
      </c>
      <c r="C9" s="27" t="n">
        <f aca="false">-C$7*$B9</f>
        <v>-10500</v>
      </c>
      <c r="D9" s="27" t="n">
        <f aca="false">-D$7*$B9</f>
        <v>-105000</v>
      </c>
      <c r="E9" s="27" t="n">
        <f aca="false">-E$7*$B9</f>
        <v>-1050000</v>
      </c>
      <c r="F9" s="27" t="n">
        <f aca="false">-F$7*$B9</f>
        <v>-10500000</v>
      </c>
    </row>
    <row r="10" customFormat="false" ht="15" hidden="false" customHeight="false" outlineLevel="0" collapsed="false">
      <c r="A10" s="4" t="s">
        <v>163</v>
      </c>
      <c r="B10" s="32" t="n">
        <f aca="false">'P&amp;L Cascade'!C9</f>
        <v>0.03</v>
      </c>
      <c r="C10" s="27" t="n">
        <f aca="false">-C$7*$B10</f>
        <v>-3000</v>
      </c>
      <c r="D10" s="27" t="n">
        <f aca="false">-D$7*$B10</f>
        <v>-30000</v>
      </c>
      <c r="E10" s="27" t="n">
        <f aca="false">-E$7*$B10</f>
        <v>-300000</v>
      </c>
      <c r="F10" s="27" t="n">
        <f aca="false">-F$7*$B10</f>
        <v>-3000000</v>
      </c>
    </row>
    <row r="11" customFormat="false" ht="15" hidden="false" customHeight="false" outlineLevel="0" collapsed="false">
      <c r="A11" s="4" t="s">
        <v>164</v>
      </c>
      <c r="B11" s="32" t="n">
        <f aca="false">'P&amp;L Cascade'!C10</f>
        <v>0.05</v>
      </c>
      <c r="C11" s="27" t="n">
        <f aca="false">-C$7*$B11</f>
        <v>-5000</v>
      </c>
      <c r="D11" s="27" t="n">
        <f aca="false">-D$7*$B11</f>
        <v>-50000</v>
      </c>
      <c r="E11" s="27" t="n">
        <f aca="false">-E$7*$B11</f>
        <v>-500000</v>
      </c>
      <c r="F11" s="27" t="n">
        <f aca="false">-F$7*$B11</f>
        <v>-5000000</v>
      </c>
    </row>
    <row r="12" customFormat="false" ht="15" hidden="false" customHeight="false" outlineLevel="0" collapsed="false">
      <c r="A12" s="4" t="s">
        <v>165</v>
      </c>
      <c r="B12" s="32" t="n">
        <f aca="false">'P&amp;L Cascade'!C11</f>
        <v>0.05</v>
      </c>
      <c r="C12" s="27" t="n">
        <f aca="false">-C$7*$B12</f>
        <v>-5000</v>
      </c>
      <c r="D12" s="27" t="n">
        <f aca="false">-D$7*$B12</f>
        <v>-50000</v>
      </c>
      <c r="E12" s="27" t="n">
        <f aca="false">-E$7*$B12</f>
        <v>-500000</v>
      </c>
      <c r="F12" s="27" t="n">
        <f aca="false">-F$7*$B12</f>
        <v>-5000000</v>
      </c>
    </row>
    <row r="13" customFormat="false" ht="15" hidden="false" customHeight="false" outlineLevel="0" collapsed="false">
      <c r="A13" s="3" t="s">
        <v>166</v>
      </c>
      <c r="B13" s="33" t="n">
        <f aca="false">SUM(B8:B12)</f>
        <v>0.485</v>
      </c>
      <c r="C13" s="27" t="n">
        <f aca="false">SUM(C8:C12)</f>
        <v>-48500</v>
      </c>
      <c r="D13" s="27" t="n">
        <f aca="false">SUM(D8:D12)</f>
        <v>-485000</v>
      </c>
      <c r="E13" s="27" t="n">
        <f aca="false">SUM(E8:E12)</f>
        <v>-4850000</v>
      </c>
      <c r="F13" s="27" t="n">
        <f aca="false">SUM(F8:F12)</f>
        <v>-48500000</v>
      </c>
    </row>
    <row r="14" customFormat="false" ht="15" hidden="false" customHeight="false" outlineLevel="0" collapsed="false">
      <c r="A14" s="18" t="s">
        <v>167</v>
      </c>
      <c r="B14" s="28" t="n">
        <f aca="false">1-B13</f>
        <v>0.515</v>
      </c>
      <c r="C14" s="15" t="n">
        <f aca="false">C7+C13</f>
        <v>51500</v>
      </c>
      <c r="D14" s="15" t="n">
        <f aca="false">D7+D13</f>
        <v>515000</v>
      </c>
      <c r="E14" s="15" t="n">
        <f aca="false">E7+E13</f>
        <v>5150000</v>
      </c>
      <c r="F14" s="15" t="n">
        <f aca="false">F7+F13</f>
        <v>51500000</v>
      </c>
    </row>
    <row r="15" customFormat="false" ht="15" hidden="false" customHeight="false" outlineLevel="0" collapsed="false">
      <c r="A15" s="4" t="s">
        <v>168</v>
      </c>
      <c r="B15" s="17" t="n">
        <f aca="false">'P&amp;L Cascade'!C16</f>
        <v>5400</v>
      </c>
      <c r="C15" s="27" t="n">
        <f aca="false">-$B15</f>
        <v>-5400</v>
      </c>
      <c r="D15" s="27" t="n">
        <f aca="false">-$B15</f>
        <v>-5400</v>
      </c>
      <c r="E15" s="27" t="n">
        <f aca="false">-$B15</f>
        <v>-5400</v>
      </c>
      <c r="F15" s="27" t="n">
        <f aca="false">-$B15</f>
        <v>-5400</v>
      </c>
    </row>
    <row r="16" customFormat="false" ht="15" hidden="false" customHeight="false" outlineLevel="0" collapsed="false">
      <c r="A16" s="4" t="s">
        <v>169</v>
      </c>
      <c r="B16" s="23" t="s">
        <v>170</v>
      </c>
      <c r="C16" s="11" t="n">
        <v>-9314</v>
      </c>
      <c r="D16" s="11" t="n">
        <v>-45000</v>
      </c>
      <c r="E16" s="11" t="n">
        <v>-330000</v>
      </c>
      <c r="F16" s="11" t="n">
        <v>-3000000</v>
      </c>
    </row>
    <row r="17" customFormat="false" ht="15" hidden="false" customHeight="false" outlineLevel="0" collapsed="false">
      <c r="A17" s="3" t="s">
        <v>171</v>
      </c>
      <c r="C17" s="20" t="n">
        <f aca="false">C14+C15+C16</f>
        <v>36786</v>
      </c>
      <c r="D17" s="20" t="n">
        <f aca="false">D14+D15+D16</f>
        <v>464600</v>
      </c>
      <c r="E17" s="20" t="n">
        <f aca="false">E14+E15+E16</f>
        <v>4814600</v>
      </c>
      <c r="F17" s="20" t="n">
        <f aca="false">F14+F15+F16</f>
        <v>48494600</v>
      </c>
    </row>
    <row r="18" customFormat="false" ht="15" hidden="false" customHeight="false" outlineLevel="0" collapsed="false">
      <c r="A18" s="4" t="s">
        <v>172</v>
      </c>
      <c r="B18" s="33" t="n">
        <f aca="false">B4</f>
        <v>0.2</v>
      </c>
      <c r="C18" s="27" t="n">
        <f aca="false">-C$7*$B$4</f>
        <v>-20000</v>
      </c>
      <c r="D18" s="27" t="n">
        <f aca="false">-D$7*$B$4</f>
        <v>-200000</v>
      </c>
      <c r="E18" s="27" t="n">
        <f aca="false">-E$7*$B$4</f>
        <v>-2000000</v>
      </c>
      <c r="F18" s="27" t="n">
        <f aca="false">-F$7*$B$4</f>
        <v>-20000000</v>
      </c>
    </row>
    <row r="19" customFormat="false" ht="15" hidden="false" customHeight="false" outlineLevel="0" collapsed="false">
      <c r="A19" s="18" t="s">
        <v>148</v>
      </c>
      <c r="B19" s="19"/>
      <c r="C19" s="31" t="n">
        <f aca="false">C17+C18</f>
        <v>16786</v>
      </c>
      <c r="D19" s="31" t="n">
        <f aca="false">D17+D18</f>
        <v>264600</v>
      </c>
      <c r="E19" s="31" t="n">
        <f aca="false">E17+E18</f>
        <v>2814600</v>
      </c>
      <c r="F19" s="31" t="n">
        <f aca="false">F17+F18</f>
        <v>28494600</v>
      </c>
    </row>
    <row r="20" customFormat="false" ht="15" hidden="false" customHeight="false" outlineLevel="0" collapsed="false">
      <c r="A20" s="4" t="s">
        <v>173</v>
      </c>
      <c r="C20" s="33" t="n">
        <f aca="false">C19/C7</f>
        <v>0.16786</v>
      </c>
      <c r="D20" s="33" t="n">
        <f aca="false">D19/D7</f>
        <v>0.2646</v>
      </c>
      <c r="E20" s="33" t="n">
        <f aca="false">E19/E7</f>
        <v>0.28146</v>
      </c>
      <c r="F20" s="33" t="n">
        <f aca="false">F19/F7</f>
        <v>0.284946</v>
      </c>
    </row>
    <row r="21" customFormat="false" ht="15" hidden="false" customHeight="false" outlineLevel="0" collapsed="false">
      <c r="A21" s="23" t="s">
        <v>174</v>
      </c>
      <c r="C21" s="34" t="n">
        <f aca="false">C7*12</f>
        <v>1200000</v>
      </c>
      <c r="D21" s="34" t="n">
        <f aca="false">D7*12</f>
        <v>12000000</v>
      </c>
      <c r="E21" s="34" t="n">
        <f aca="false">E7*12</f>
        <v>120000000</v>
      </c>
      <c r="F21" s="34" t="n">
        <f aca="false">F7*12</f>
        <v>1200000000</v>
      </c>
    </row>
  </sheetData>
  <mergeCells count="2">
    <mergeCell ref="A1:F1"/>
    <mergeCell ref="A2:F2"/>
  </mergeCells>
  <conditionalFormatting sqref="C17:F17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conditionalFormatting sqref="C19:F19">
    <cfRule type="cellIs" priority="4" operator="greaterThan" aboveAverage="0" equalAverage="0" bottom="0" percent="0" rank="0" text="" dxfId="0">
      <formula>0</formula>
    </cfRule>
    <cfRule type="cellIs" priority="5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2026-06-12T11:10:30Z</dcterms:created>
  <dc:creator>openpyxl</dc:creator>
  <dc:description/>
  <dc:language>en-US</dc:language>
  <cp:lastModifiedBy/>
  <dcterms:modified xsi:type="dcterms:W3CDTF">2026-06-12T11:10:30Z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