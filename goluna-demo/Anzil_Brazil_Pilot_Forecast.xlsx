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Forecast" sheetId="1" state="visible" r:id="rId3"/>
    <sheet name="Revenue Targ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<sst xmlns="http://schemas.openxmlformats.org/spreadsheetml/2006/main" count="113" uniqueCount="102">
  <si>
    <t xml:space="preserve">GoLuna — Path C (Anzil) Month-by-Month Cost Forecast (USD)</t>
  </si>
  <si>
    <t xml:space="preserve">Anzil engagement hard-capped at $100K over the 3-month pilot (M2–M4) · 1M SEK dedicated to Brazil/Anzil · clipping + influencer activation removed · M2 kill checkpoint (decision 2026-06-11). Benchmarks, not GoLuna-measured data — verify at M4.</t>
  </si>
  <si>
    <t xml:space="preserve">Assumptions</t>
  </si>
  <si>
    <t xml:space="preserve">FX (SEK per USD)</t>
  </si>
  <si>
    <t xml:space="preserve">Working budget (2.5M SEK, USD)</t>
  </si>
  <si>
    <t xml:space="preserve">Brazil/Anzil envelope (1M SEK, USD)</t>
  </si>
  <si>
    <t xml:space="preserve">Anzil management fee (% of media)</t>
  </si>
  <si>
    <t xml:space="preserve">Anzil contract hard cap (USD)</t>
  </si>
  <si>
    <t xml:space="preserve">Line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</si>
  <si>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</si>
  <si>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</si>
  <si>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</si>
  <si>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</si>
  <si>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</si>
  <si>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</si>
  <si>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</si>
  <si>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</si>
  <si>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</si>
  <si>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</si>
  <si>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</si>
  <si>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</si>
  <si>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</si>
  <si>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Salaries (T+O+G)</t>
  </si>
  <si>
    <t xml:space="preserve">X VIP Transfer Method</t>
  </si>
  <si>
    <t xml:space="preserve">Cubeia AWS hosting</t>
  </si>
  <si>
    <t xml:space="preserve">Customer.io (Cubeia App. B)</t>
  </si>
  <si>
    <t xml:space="preserve">Freshchat (Cubeia App. B)</t>
  </si>
  <si>
    <t xml:space="preserve">Cubeia platform min (from M7)</t>
  </si>
  <si>
    <t xml:space="preserve">Security stack subs</t>
  </si>
  <si>
    <t xml:space="preserve">Claude Max</t>
  </si>
  <si>
    <t xml:space="preserve">Security stack — hardware (one-time)</t>
  </si>
  <si>
    <t xml:space="preserve">Costa Rica corp (2026)</t>
  </si>
  <si>
    <t xml:space="preserve">Designer (casino design)</t>
  </si>
  <si>
    <t xml:space="preserve">Betby setup (sportsbook)</t>
  </si>
  <si>
    <t xml:space="preserve">Other subscriptions</t>
  </si>
  <si>
    <t xml:space="preserve">Anzil setup (€3K, one-time, M1)</t>
  </si>
  <si>
    <t xml:space="preserve">Anzil retainer (€1.5K/mo, M2–M4)</t>
  </si>
  <si>
    <t xml:space="preserve">Anzil media — Meta+WhatsApp (M2–M4)</t>
  </si>
  <si>
    <t xml:space="preserve">Anzil management (15% of media)</t>
  </si>
  <si>
    <t xml:space="preserve">MARKETING / ANZIL — monthly total (setup + retainer + media + mgmt)</t>
  </si>
  <si>
    <t xml:space="preserve">GoLuna fixed — monthly total (salaries, platform, security, one-times)</t>
  </si>
  <si>
    <t xml:space="preserve">Monthly total (fixed + marketing)</t>
  </si>
  <si>
    <t xml:space="preserve">Cumulative</t>
  </si>
  <si>
    <t xml:space="preserve">Operating budget remaining (vs 2.5M SEK)</t>
  </si>
  <si>
    <t xml:space="preserve">Anzil engagement summary</t>
  </si>
  <si>
    <t xml:space="preserve">Anzil committed total (setup + retainer + media + mgmt)</t>
  </si>
  <si>
    <t xml:space="preserve">Brazil/Anzil envelope (1M SEK)</t>
  </si>
  <si>
    <t xml:space="preserve">Headroom vs envelope (WhatsApp/PIX fees, TBD)</t>
  </si>
  <si>
    <t xml:space="preserve">Contract hard cap</t>
  </si>
  <si>
    <t xml:space="preserve">Headroom vs hard cap</t>
  </si>
  <si>
    <t xml:space="preserve">Sunk if cut at M2 checkpoint (setup + M2 retainer/media/mgmt)</t>
  </si>
  <si>
    <t xml:space="preserve">Never deployed if cut at M2</t>
  </si>
  <si>
    <t xml:space="preserve">Paid if cut after 2 live months (end of M3)</t>
  </si>
  <si>
    <t xml:space="preserve">GoLuna — Path C Revenue Targets by Month (what to optimize for)</t>
  </si>
  <si>
    <t xml:space="preserve">NEED = ~28% retention (the break-even line: M4-exit run-rate covers the M7+ fixed burn). OPTIMIZE = ~39% retention (the flywheel compounds). Basis: ARPU $30/mo (Brazil regulated avg), CAC $20 (Anzil quote), net contribution 51.5% of GGR (incl. ~5% high-estimate PIX fee). Market benchmarks, not GoLuna data — recalibrate with real cohorts at M2–M3.</t>
  </si>
  <si>
    <t xml:space="preserve">ARPU (GGR / active / month)</t>
  </si>
  <si>
    <t xml:space="preserve">CAC per FTD (Anzil quote $12–25)</t>
  </si>
  <si>
    <t xml:space="preserve">NGR (GGR − bonuses 25%)</t>
  </si>
  <si>
    <t xml:space="preserve">Net contribution (after all variable, incl. PIX high-est.)</t>
  </si>
  <si>
    <t xml:space="preserve">Retention — NEED (break-even line)</t>
  </si>
  <si>
    <t xml:space="preserve">Retention — OPTIMIZE (compounding)</t>
  </si>
  <si>
    <t xml:space="preserve">M7+ fixed run-rate (from Cost Forecast)</t>
  </si>
  <si>
    <t xml:space="preserve">PROFIT — AT A GLANCE</t>
  </si>
  <si>
    <t xml:space="preserve">Scenario</t>
  </si>
  <si>
    <t xml:space="preserve">Pilot M1–M4 (the investment)</t>
  </si>
  <si>
    <t xml:space="preserve">M5–M6 / mo</t>
  </si>
  <si>
    <t xml:space="preserve">M7+ / mo</t>
  </si>
  <si>
    <t xml:space="preserve">Cumulative at M6</t>
  </si>
  <si>
    <t xml:space="preserve">NEED — break-even (~28% ret.)</t>
  </si>
  <si>
    <t xml:space="preserve">OPTIMIZE — compounding (~39% ret.)</t>
  </si>
  <si>
    <t xml:space="preserve">Read: the pilot is an investment (red) in both scenarios. At the NEED line the machine reaches break-even from M7 (profit ≈ $0/mo — that is the definition of the line). At the OPTIMIZE line the same spend returns ~+$6K/mo from M7 to reinvest. Green = profit, red = loss.</t>
  </si>
  <si>
    <t xml:space="preserve">Metric</t>
  </si>
  <si>
    <t xml:space="preserve">M1 (onboard)</t>
  </si>
  <si>
    <t xml:space="preserve">M2 (pilot 1)</t>
  </si>
  <si>
    <t xml:space="preserve">M3 (pilot 2)</t>
  </si>
  <si>
    <t xml:space="preserve">M4 (pilot 3 · gate)</t>
  </si>
  <si>
    <t xml:space="preserve">M7+ /mo</t>
  </si>
  <si>
    <t xml:space="preserve">Anzil media spend</t>
  </si>
  <si>
    <t xml:space="preserve">New FTDs (media ÷ CAC)</t>
  </si>
  <si>
    <t xml:space="preserve">Cumulative FTDs (end of month)</t>
  </si>
  <si>
    <t xml:space="preserve">NEED — break-even line (~28% retention)</t>
  </si>
  <si>
    <t xml:space="preserve">Active depositors</t>
  </si>
  <si>
    <t xml:space="preserve">Target GGR (actives × ARPU)</t>
  </si>
  <si>
    <t xml:space="preserve">≈ NGR (GGR − 25% bonuses)</t>
  </si>
  <si>
    <t xml:space="preserve">Net contribution (51.5% of GGR)</t>
  </si>
  <si>
    <t xml:space="preserve">Monthly cost (from Cost Forecast)</t>
  </si>
  <si>
    <t xml:space="preserve">MONTHLY PROFIT / LOSS  (net contribution − cost)</t>
  </si>
  <si>
    <t xml:space="preserve">CUMULATIVE PROFIT / LOSS  (M1–M6)</t>
  </si>
  <si>
    <t xml:space="preserve">n/a</t>
  </si>
  <si>
    <t xml:space="preserve">OPTIMIZE — compounding (~39% retention)</t>
  </si>
  <si>
    <t xml:space="preserve">After-M4 states (exit run-rate vs the floor)</t>
  </si>
  <si>
    <t xml:space="preserve">Retention of ~3,450 pilot FTDs</t>
  </si>
  <si>
    <t xml:space="preserve">Active deps</t>
  </si>
  <si>
    <t xml:space="preserve">GGR / mo</t>
  </si>
  <si>
    <t xml:space="preserve">Net / mo (51.5%)</t>
  </si>
  <si>
    <t xml:space="preserve">vs M7+ run-rate</t>
  </si>
  <si>
    <t xml:space="preserve">Verdict</t>
  </si>
  <si>
    <t xml:space="preserve">KILL — bleeds</t>
  </si>
  <si>
    <t xml:space="preserve">Marginal — kill unless trending up</t>
  </si>
  <si>
    <t xml:space="preserve">Break-even — the GO line</t>
  </si>
  <si>
    <t xml:space="preserve">Compounding — scale it</t>
  </si>
  <si>
    <t xml:space="preserve">M4 gate floor (GGR/mo) = M7+ run-rate ÷ net contribution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</si>
</sst>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\$#,##0;[RED]&quot;($&quot;#,##0\);\-"/>
    <numFmt numFmtId="167" formatCode="0.0%"/>
    <numFmt numFmtId="168" formatCode="&quot;+$&quot;#,##0;&quot;($&quot;#,##0\);\-"/>
    <numFmt numFmtId="169" formatCode="#,##0;[RED]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1F3A"/>
        <bgColor rgb="FF333300"/>
      </patternFill>
    </fill>
    <fill>
      <patternFill patternType="solid">
        <fgColor rgb="FFEDE9FE"/>
        <bgColor rgb="FFEFEFEF"/>
      </patternFill>
    </fill>
    <fill>
      <patternFill patternType="solid">
        <fgColor rgb="FFEFEFEF"/>
        <bgColor rgb="FFEDE9F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EDE9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1F1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10.5</v>
      </c>
    </row>
    <row r="6" customFormat="false" ht="15" hidden="false" customHeight="false" outlineLevel="0" collapsed="false">
      <c r="A6" s="4" t="s">
        <v>4</v>
      </c>
      <c r="B6" s="6" t="n">
        <f aca="false">2500000/B5</f>
        <v>238095.238095238</v>
      </c>
    </row>
    <row r="7" customFormat="false" ht="15" hidden="false" customHeight="false" outlineLevel="0" collapsed="false">
      <c r="A7" s="4" t="s">
        <v>5</v>
      </c>
      <c r="B7" s="6" t="n">
        <f aca="false">1000000/B5</f>
        <v>95238.0952380952</v>
      </c>
    </row>
    <row r="8" customFormat="false" ht="15" hidden="false" customHeight="false" outlineLevel="0" collapsed="false">
      <c r="A8" s="4" t="s">
        <v>6</v>
      </c>
      <c r="B8" s="7" t="n">
        <v>0.15</v>
      </c>
    </row>
    <row r="9" customFormat="false" ht="15" hidden="false" customHeight="false" outlineLevel="0" collapsed="false">
      <c r="A9" s="4" t="s">
        <v>7</v>
      </c>
      <c r="B9" s="8" t="n">
        <v>100000</v>
      </c>
    </row>
    <row r="11" customFormat="false" ht="15" hidden="false" customHeight="false" outlineLevel="0" collapsed="false">
      <c r="A11" s="9" t="s">
        <v>8</v>
      </c>
      <c r="B11" s="10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0" t="s">
        <v>18</v>
      </c>
      <c r="L11" s="10" t="s">
        <v>19</v>
      </c>
      <c r="M11" s="10" t="s">
        <v>20</v>
      </c>
      <c r="N11" s="10" t="s">
        <v>21</v>
      </c>
    </row>
    <row r="12" customFormat="false" ht="15" hidden="false" customHeight="false" outlineLevel="0" collapsed="false">
      <c r="A12" s="4" t="s">
        <v>22</v>
      </c>
      <c r="B12" s="11" t="n">
        <v>5000</v>
      </c>
      <c r="C12" s="11" t="n">
        <v>5000</v>
      </c>
      <c r="D12" s="11" t="n">
        <v>5000</v>
      </c>
      <c r="E12" s="11" t="n">
        <v>5000</v>
      </c>
      <c r="F12" s="11" t="n">
        <v>5000</v>
      </c>
      <c r="G12" s="11" t="n">
        <v>5000</v>
      </c>
      <c r="H12" s="11" t="n">
        <v>5000</v>
      </c>
      <c r="I12" s="11" t="n">
        <v>5000</v>
      </c>
      <c r="J12" s="11" t="n">
        <v>5000</v>
      </c>
      <c r="K12" s="11" t="n">
        <v>5000</v>
      </c>
      <c r="L12" s="11" t="n">
        <v>5000</v>
      </c>
      <c r="M12" s="11" t="n">
        <v>5000</v>
      </c>
      <c r="N12" s="6" t="n">
        <f aca="false">SUM(B12:M12)</f>
        <v>60000</v>
      </c>
    </row>
    <row r="13" customFormat="false" ht="15" hidden="false" customHeight="false" outlineLevel="0" collapsed="false">
      <c r="A13" s="4" t="s">
        <v>23</v>
      </c>
      <c r="B13" s="11" t="n">
        <v>0</v>
      </c>
      <c r="C13" s="11" t="n">
        <v>1143</v>
      </c>
      <c r="D13" s="11" t="n">
        <v>1143</v>
      </c>
      <c r="E13" s="11" t="n">
        <v>1143</v>
      </c>
      <c r="F13" s="11" t="n">
        <v>1143</v>
      </c>
      <c r="G13" s="11" t="n">
        <v>1143</v>
      </c>
      <c r="H13" s="11" t="n">
        <v>1143</v>
      </c>
      <c r="I13" s="11" t="n">
        <v>1143</v>
      </c>
      <c r="J13" s="11" t="n">
        <v>1143</v>
      </c>
      <c r="K13" s="11" t="n">
        <v>1143</v>
      </c>
      <c r="L13" s="11" t="n">
        <v>1143</v>
      </c>
      <c r="M13" s="11" t="n">
        <v>1143</v>
      </c>
      <c r="N13" s="6" t="n">
        <f aca="false">SUM(B13:M13)</f>
        <v>12573</v>
      </c>
    </row>
    <row r="14" customFormat="false" ht="15" hidden="false" customHeight="false" outlineLevel="0" collapsed="false">
      <c r="A14" s="4" t="s">
        <v>24</v>
      </c>
      <c r="B14" s="11" t="n">
        <v>1836</v>
      </c>
      <c r="C14" s="11" t="n">
        <v>1836</v>
      </c>
      <c r="D14" s="11" t="n">
        <v>1836</v>
      </c>
      <c r="E14" s="11" t="n">
        <v>1836</v>
      </c>
      <c r="F14" s="11" t="n">
        <v>1836</v>
      </c>
      <c r="G14" s="11" t="n">
        <v>1836</v>
      </c>
      <c r="H14" s="11" t="n">
        <v>1836</v>
      </c>
      <c r="I14" s="11" t="n">
        <v>1836</v>
      </c>
      <c r="J14" s="11" t="n">
        <v>1836</v>
      </c>
      <c r="K14" s="11" t="n">
        <v>1836</v>
      </c>
      <c r="L14" s="11" t="n">
        <v>1836</v>
      </c>
      <c r="M14" s="11" t="n">
        <v>1836</v>
      </c>
      <c r="N14" s="6" t="n">
        <f aca="false">SUM(B14:M14)</f>
        <v>22032</v>
      </c>
    </row>
    <row r="15" customFormat="false" ht="15" hidden="false" customHeight="false" outlineLevel="0" collapsed="false">
      <c r="A15" s="4" t="s">
        <v>25</v>
      </c>
      <c r="B15" s="11" t="n">
        <v>324</v>
      </c>
      <c r="C15" s="11" t="n">
        <v>324</v>
      </c>
      <c r="D15" s="11" t="n">
        <v>324</v>
      </c>
      <c r="E15" s="11" t="n">
        <v>324</v>
      </c>
      <c r="F15" s="11" t="n">
        <v>324</v>
      </c>
      <c r="G15" s="11" t="n">
        <v>324</v>
      </c>
      <c r="H15" s="11" t="n">
        <v>324</v>
      </c>
      <c r="I15" s="11" t="n">
        <v>324</v>
      </c>
      <c r="J15" s="11" t="n">
        <v>324</v>
      </c>
      <c r="K15" s="11" t="n">
        <v>324</v>
      </c>
      <c r="L15" s="11" t="n">
        <v>324</v>
      </c>
      <c r="M15" s="11" t="n">
        <v>324</v>
      </c>
      <c r="N15" s="6" t="n">
        <f aca="false">SUM(B15:M15)</f>
        <v>3888</v>
      </c>
    </row>
    <row r="16" customFormat="false" ht="15" hidden="false" customHeight="false" outlineLevel="0" collapsed="false">
      <c r="A16" s="4" t="s">
        <v>26</v>
      </c>
      <c r="B16" s="11" t="n">
        <v>0</v>
      </c>
      <c r="C16" s="11" t="n">
        <v>54</v>
      </c>
      <c r="D16" s="11" t="n">
        <v>54</v>
      </c>
      <c r="E16" s="11" t="n">
        <v>54</v>
      </c>
      <c r="F16" s="11" t="n">
        <v>54</v>
      </c>
      <c r="G16" s="11" t="n">
        <v>54</v>
      </c>
      <c r="H16" s="11" t="n">
        <v>54</v>
      </c>
      <c r="I16" s="11" t="n">
        <v>54</v>
      </c>
      <c r="J16" s="11" t="n">
        <v>54</v>
      </c>
      <c r="K16" s="11" t="n">
        <v>54</v>
      </c>
      <c r="L16" s="11" t="n">
        <v>54</v>
      </c>
      <c r="M16" s="11" t="n">
        <v>54</v>
      </c>
      <c r="N16" s="6" t="n">
        <f aca="false">SUM(B16:M16)</f>
        <v>594</v>
      </c>
    </row>
    <row r="17" customFormat="false" ht="15" hidden="false" customHeight="false" outlineLevel="0" collapsed="false">
      <c r="A17" s="4" t="s">
        <v>27</v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5400</v>
      </c>
      <c r="I17" s="11" t="n">
        <v>5400</v>
      </c>
      <c r="J17" s="11" t="n">
        <v>5400</v>
      </c>
      <c r="K17" s="11" t="n">
        <v>5400</v>
      </c>
      <c r="L17" s="11" t="n">
        <v>5400</v>
      </c>
      <c r="M17" s="11" t="n">
        <v>5400</v>
      </c>
      <c r="N17" s="6" t="n">
        <f aca="false">SUM(B17:M17)</f>
        <v>32400</v>
      </c>
    </row>
    <row r="18" customFormat="false" ht="15" hidden="false" customHeight="false" outlineLevel="0" collapsed="false">
      <c r="A18" s="4" t="s">
        <v>28</v>
      </c>
      <c r="B18" s="11" t="n">
        <v>281</v>
      </c>
      <c r="C18" s="11" t="n">
        <v>281</v>
      </c>
      <c r="D18" s="11" t="n">
        <v>281</v>
      </c>
      <c r="E18" s="11" t="n">
        <v>281</v>
      </c>
      <c r="F18" s="11" t="n">
        <v>281</v>
      </c>
      <c r="G18" s="11" t="n">
        <v>281</v>
      </c>
      <c r="H18" s="11" t="n">
        <v>281</v>
      </c>
      <c r="I18" s="11" t="n">
        <v>281</v>
      </c>
      <c r="J18" s="11" t="n">
        <v>281</v>
      </c>
      <c r="K18" s="11" t="n">
        <v>281</v>
      </c>
      <c r="L18" s="11" t="n">
        <v>281</v>
      </c>
      <c r="M18" s="11" t="n">
        <v>281</v>
      </c>
      <c r="N18" s="6" t="n">
        <f aca="false">SUM(B18:M18)</f>
        <v>3372</v>
      </c>
    </row>
    <row r="19" customFormat="false" ht="15" hidden="false" customHeight="false" outlineLevel="0" collapsed="false">
      <c r="A19" s="4" t="s">
        <v>29</v>
      </c>
      <c r="B19" s="11" t="n">
        <v>200</v>
      </c>
      <c r="C19" s="11" t="n">
        <v>200</v>
      </c>
      <c r="D19" s="11" t="n">
        <v>200</v>
      </c>
      <c r="E19" s="11" t="n">
        <v>200</v>
      </c>
      <c r="F19" s="11" t="n">
        <v>200</v>
      </c>
      <c r="G19" s="11" t="n">
        <v>200</v>
      </c>
      <c r="H19" s="11" t="n">
        <v>200</v>
      </c>
      <c r="I19" s="11" t="n">
        <v>200</v>
      </c>
      <c r="J19" s="11" t="n">
        <v>200</v>
      </c>
      <c r="K19" s="11" t="n">
        <v>200</v>
      </c>
      <c r="L19" s="11" t="n">
        <v>200</v>
      </c>
      <c r="M19" s="11" t="n">
        <v>200</v>
      </c>
      <c r="N19" s="6" t="n">
        <f aca="false">SUM(B19:M19)</f>
        <v>2400</v>
      </c>
    </row>
    <row r="20" customFormat="false" ht="15" hidden="false" customHeight="false" outlineLevel="0" collapsed="false">
      <c r="A20" s="4" t="s">
        <v>30</v>
      </c>
      <c r="B20" s="11" t="n">
        <v>1652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6" t="n">
        <f aca="false">SUM(B20:M20)</f>
        <v>1652</v>
      </c>
    </row>
    <row r="21" customFormat="false" ht="15" hidden="false" customHeight="false" outlineLevel="0" collapsed="false">
      <c r="A21" s="4" t="s">
        <v>31</v>
      </c>
      <c r="B21" s="11" t="n">
        <v>6858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6" t="n">
        <f aca="false">SUM(B21:M21)</f>
        <v>6858</v>
      </c>
    </row>
    <row r="22" customFormat="false" ht="15" hidden="false" customHeight="false" outlineLevel="0" collapsed="false">
      <c r="A22" s="4" t="s">
        <v>32</v>
      </c>
      <c r="B22" s="11" t="n">
        <v>4800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6" t="n">
        <f aca="false">SUM(B22:M22)</f>
        <v>4800</v>
      </c>
    </row>
    <row r="23" customFormat="false" ht="15" hidden="false" customHeight="false" outlineLevel="0" collapsed="false">
      <c r="A23" s="4" t="s">
        <v>33</v>
      </c>
      <c r="B23" s="11" t="n">
        <v>3000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6" t="n">
        <f aca="false">SUM(B23:M23)</f>
        <v>3000</v>
      </c>
    </row>
    <row r="24" customFormat="false" ht="15" hidden="false" customHeight="false" outlineLevel="0" collapsed="false">
      <c r="A24" s="4" t="s">
        <v>34</v>
      </c>
      <c r="B24" s="11" t="n">
        <v>476</v>
      </c>
      <c r="C24" s="11" t="n">
        <v>476</v>
      </c>
      <c r="D24" s="11" t="n">
        <v>476</v>
      </c>
      <c r="E24" s="11" t="n">
        <v>476</v>
      </c>
      <c r="F24" s="11" t="n">
        <v>476</v>
      </c>
      <c r="G24" s="11" t="n">
        <v>476</v>
      </c>
      <c r="H24" s="11" t="n">
        <v>476</v>
      </c>
      <c r="I24" s="11" t="n">
        <v>476</v>
      </c>
      <c r="J24" s="11" t="n">
        <v>476</v>
      </c>
      <c r="K24" s="11" t="n">
        <v>476</v>
      </c>
      <c r="L24" s="11" t="n">
        <v>476</v>
      </c>
      <c r="M24" s="11" t="n">
        <v>476</v>
      </c>
      <c r="N24" s="6" t="n">
        <f aca="false">SUM(B24:M24)</f>
        <v>5712</v>
      </c>
    </row>
    <row r="25" customFormat="false" ht="15" hidden="false" customHeight="false" outlineLevel="0" collapsed="false">
      <c r="A25" s="3" t="s">
        <v>35</v>
      </c>
      <c r="B25" s="12" t="n">
        <v>3240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3" t="n">
        <f aca="false">SUM(B25:M25)</f>
        <v>3240</v>
      </c>
    </row>
    <row r="26" customFormat="false" ht="15" hidden="false" customHeight="false" outlineLevel="0" collapsed="false">
      <c r="A26" s="3" t="s">
        <v>36</v>
      </c>
      <c r="B26" s="12" t="n">
        <v>0</v>
      </c>
      <c r="C26" s="12" t="n">
        <v>1620</v>
      </c>
      <c r="D26" s="12" t="n">
        <v>1620</v>
      </c>
      <c r="E26" s="12" t="n">
        <v>1620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3" t="n">
        <f aca="false">SUM(B26:M26)</f>
        <v>4860</v>
      </c>
    </row>
    <row r="27" customFormat="false" ht="15" hidden="false" customHeight="false" outlineLevel="0" collapsed="false">
      <c r="A27" s="3" t="s">
        <v>37</v>
      </c>
      <c r="B27" s="12" t="n">
        <v>0</v>
      </c>
      <c r="C27" s="12" t="n">
        <v>15000</v>
      </c>
      <c r="D27" s="12" t="n">
        <v>25000</v>
      </c>
      <c r="E27" s="12" t="n">
        <v>29000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3" t="n">
        <f aca="false">SUM(B27:M27)</f>
        <v>69000</v>
      </c>
    </row>
    <row r="28" customFormat="false" ht="15" hidden="false" customHeight="false" outlineLevel="0" collapsed="false">
      <c r="A28" s="3" t="s">
        <v>38</v>
      </c>
      <c r="B28" s="13" t="n">
        <f aca="false">B27*$B$8</f>
        <v>0</v>
      </c>
      <c r="C28" s="13" t="n">
        <f aca="false">C27*$B$8</f>
        <v>2250</v>
      </c>
      <c r="D28" s="13" t="n">
        <f aca="false">D27*$B$8</f>
        <v>3750</v>
      </c>
      <c r="E28" s="13" t="n">
        <f aca="false">E27*$B$8</f>
        <v>4350</v>
      </c>
      <c r="F28" s="13" t="n">
        <f aca="false">F27*$B$8</f>
        <v>0</v>
      </c>
      <c r="G28" s="13" t="n">
        <f aca="false">G27*$B$8</f>
        <v>0</v>
      </c>
      <c r="H28" s="13" t="n">
        <f aca="false">H27*$B$8</f>
        <v>0</v>
      </c>
      <c r="I28" s="13" t="n">
        <f aca="false">I27*$B$8</f>
        <v>0</v>
      </c>
      <c r="J28" s="13" t="n">
        <f aca="false">J27*$B$8</f>
        <v>0</v>
      </c>
      <c r="K28" s="13" t="n">
        <f aca="false">K27*$B$8</f>
        <v>0</v>
      </c>
      <c r="L28" s="13" t="n">
        <f aca="false">L27*$B$8</f>
        <v>0</v>
      </c>
      <c r="M28" s="13" t="n">
        <f aca="false">M27*$B$8</f>
        <v>0</v>
      </c>
      <c r="N28" s="13" t="n">
        <f aca="false">SUM(B28:M28)</f>
        <v>10350</v>
      </c>
    </row>
    <row r="29" customFormat="false" ht="15" hidden="false" customHeight="false" outlineLevel="0" collapsed="false">
      <c r="A29" s="3" t="s">
        <v>39</v>
      </c>
      <c r="B29" s="14" t="n">
        <f aca="false">SUM(B25:B28)</f>
        <v>3240</v>
      </c>
      <c r="C29" s="14" t="n">
        <f aca="false">SUM(C25:C28)</f>
        <v>18870</v>
      </c>
      <c r="D29" s="14" t="n">
        <f aca="false">SUM(D25:D28)</f>
        <v>30370</v>
      </c>
      <c r="E29" s="14" t="n">
        <f aca="false">SUM(E25:E28)</f>
        <v>34970</v>
      </c>
      <c r="F29" s="14" t="n">
        <f aca="false">SUM(F25:F28)</f>
        <v>0</v>
      </c>
      <c r="G29" s="14" t="n">
        <f aca="false">SUM(G25:G28)</f>
        <v>0</v>
      </c>
      <c r="H29" s="14" t="n">
        <f aca="false">SUM(H25:H28)</f>
        <v>0</v>
      </c>
      <c r="I29" s="14" t="n">
        <f aca="false">SUM(I25:I28)</f>
        <v>0</v>
      </c>
      <c r="J29" s="14" t="n">
        <f aca="false">SUM(J25:J28)</f>
        <v>0</v>
      </c>
      <c r="K29" s="14" t="n">
        <f aca="false">SUM(K25:K28)</f>
        <v>0</v>
      </c>
      <c r="L29" s="14" t="n">
        <f aca="false">SUM(L25:L28)</f>
        <v>0</v>
      </c>
      <c r="M29" s="14" t="n">
        <f aca="false">SUM(M25:M28)</f>
        <v>0</v>
      </c>
      <c r="N29" s="14" t="n">
        <f aca="false">SUM(N25:N28)</f>
        <v>87450</v>
      </c>
    </row>
    <row r="30" customFormat="false" ht="15" hidden="false" customHeight="false" outlineLevel="0" collapsed="false">
      <c r="A30" s="3" t="s">
        <v>40</v>
      </c>
      <c r="B30" s="15" t="n">
        <f aca="false">SUM(B12:B24)</f>
        <v>24427</v>
      </c>
      <c r="C30" s="15" t="n">
        <f aca="false">SUM(C12:C24)</f>
        <v>9314</v>
      </c>
      <c r="D30" s="15" t="n">
        <f aca="false">SUM(D12:D24)</f>
        <v>9314</v>
      </c>
      <c r="E30" s="15" t="n">
        <f aca="false">SUM(E12:E24)</f>
        <v>9314</v>
      </c>
      <c r="F30" s="15" t="n">
        <f aca="false">SUM(F12:F24)</f>
        <v>9314</v>
      </c>
      <c r="G30" s="15" t="n">
        <f aca="false">SUM(G12:G24)</f>
        <v>9314</v>
      </c>
      <c r="H30" s="15" t="n">
        <f aca="false">SUM(H12:H24)</f>
        <v>14714</v>
      </c>
      <c r="I30" s="15" t="n">
        <f aca="false">SUM(I12:I24)</f>
        <v>14714</v>
      </c>
      <c r="J30" s="15" t="n">
        <f aca="false">SUM(J12:J24)</f>
        <v>14714</v>
      </c>
      <c r="K30" s="15" t="n">
        <f aca="false">SUM(K12:K24)</f>
        <v>14714</v>
      </c>
      <c r="L30" s="15" t="n">
        <f aca="false">SUM(L12:L24)</f>
        <v>14714</v>
      </c>
      <c r="M30" s="15" t="n">
        <f aca="false">SUM(M12:M24)</f>
        <v>14714</v>
      </c>
      <c r="N30" s="15" t="n">
        <f aca="false">SUM(N12:N24)</f>
        <v>159281</v>
      </c>
    </row>
    <row r="31" customFormat="false" ht="15" hidden="false" customHeight="false" outlineLevel="0" collapsed="false">
      <c r="A31" s="3" t="s">
        <v>41</v>
      </c>
      <c r="B31" s="15" t="n">
        <f aca="false">B29+B30</f>
        <v>27667</v>
      </c>
      <c r="C31" s="15" t="n">
        <f aca="false">C29+C30</f>
        <v>28184</v>
      </c>
      <c r="D31" s="15" t="n">
        <f aca="false">D29+D30</f>
        <v>39684</v>
      </c>
      <c r="E31" s="15" t="n">
        <f aca="false">E29+E30</f>
        <v>44284</v>
      </c>
      <c r="F31" s="15" t="n">
        <f aca="false">F29+F30</f>
        <v>9314</v>
      </c>
      <c r="G31" s="15" t="n">
        <f aca="false">G29+G30</f>
        <v>9314</v>
      </c>
      <c r="H31" s="15" t="n">
        <f aca="false">H29+H30</f>
        <v>14714</v>
      </c>
      <c r="I31" s="15" t="n">
        <f aca="false">I29+I30</f>
        <v>14714</v>
      </c>
      <c r="J31" s="15" t="n">
        <f aca="false">J29+J30</f>
        <v>14714</v>
      </c>
      <c r="K31" s="15" t="n">
        <f aca="false">K29+K30</f>
        <v>14714</v>
      </c>
      <c r="L31" s="15" t="n">
        <f aca="false">L29+L30</f>
        <v>14714</v>
      </c>
      <c r="M31" s="15" t="n">
        <f aca="false">M29+M30</f>
        <v>14714</v>
      </c>
      <c r="N31" s="15" t="n">
        <f aca="false">N29+N30</f>
        <v>246731</v>
      </c>
    </row>
    <row r="32" customFormat="false" ht="15" hidden="false" customHeight="false" outlineLevel="0" collapsed="false">
      <c r="A32" s="3" t="s">
        <v>42</v>
      </c>
      <c r="B32" s="6" t="n">
        <f aca="false">B31</f>
        <v>27667</v>
      </c>
      <c r="C32" s="6" t="n">
        <f aca="false">B32+C31</f>
        <v>55851</v>
      </c>
      <c r="D32" s="6" t="n">
        <f aca="false">C32+D31</f>
        <v>95535</v>
      </c>
      <c r="E32" s="6" t="n">
        <f aca="false">D32+E31</f>
        <v>139819</v>
      </c>
      <c r="F32" s="6" t="n">
        <f aca="false">E32+F31</f>
        <v>149133</v>
      </c>
      <c r="G32" s="6" t="n">
        <f aca="false">F32+G31</f>
        <v>158447</v>
      </c>
      <c r="H32" s="6" t="n">
        <f aca="false">G32+H31</f>
        <v>173161</v>
      </c>
      <c r="I32" s="6" t="n">
        <f aca="false">H32+I31</f>
        <v>187875</v>
      </c>
      <c r="J32" s="6" t="n">
        <f aca="false">I32+J31</f>
        <v>202589</v>
      </c>
      <c r="K32" s="6" t="n">
        <f aca="false">J32+K31</f>
        <v>217303</v>
      </c>
      <c r="L32" s="6" t="n">
        <f aca="false">K32+L31</f>
        <v>232017</v>
      </c>
      <c r="M32" s="6" t="n">
        <f aca="false">L32+M31</f>
        <v>246731</v>
      </c>
    </row>
    <row r="33" customFormat="false" ht="15" hidden="false" customHeight="false" outlineLevel="0" collapsed="false">
      <c r="A33" s="3" t="s">
        <v>43</v>
      </c>
      <c r="B33" s="6" t="n">
        <f aca="false">$B$6-B32</f>
        <v>210428.238095238</v>
      </c>
      <c r="C33" s="6" t="n">
        <f aca="false">$B$6-C32</f>
        <v>182244.238095238</v>
      </c>
      <c r="D33" s="6" t="n">
        <f aca="false">$B$6-D32</f>
        <v>142560.238095238</v>
      </c>
      <c r="E33" s="6" t="n">
        <f aca="false">$B$6-E32</f>
        <v>98276.2380952381</v>
      </c>
      <c r="F33" s="6" t="n">
        <f aca="false">$B$6-F32</f>
        <v>88962.2380952381</v>
      </c>
      <c r="G33" s="6" t="n">
        <f aca="false">$B$6-G32</f>
        <v>79648.2380952381</v>
      </c>
      <c r="H33" s="6" t="n">
        <f aca="false">$B$6-H32</f>
        <v>64934.2380952381</v>
      </c>
      <c r="I33" s="6" t="n">
        <f aca="false">$B$6-I32</f>
        <v>50220.2380952381</v>
      </c>
      <c r="J33" s="6" t="n">
        <f aca="false">$B$6-J32</f>
        <v>35506.2380952381</v>
      </c>
      <c r="K33" s="6" t="n">
        <f aca="false">$B$6-K32</f>
        <v>20792.2380952381</v>
      </c>
      <c r="L33" s="6" t="n">
        <f aca="false">$B$6-L32</f>
        <v>6078.23809523811</v>
      </c>
      <c r="M33" s="6" t="n">
        <f aca="false">$B$6-M32</f>
        <v>-8635.76190476189</v>
      </c>
    </row>
    <row r="36" customFormat="false" ht="15" hidden="false" customHeight="false" outlineLevel="0" collapsed="false">
      <c r="A36" s="3" t="s">
        <v>44</v>
      </c>
    </row>
    <row r="37" customFormat="false" ht="15" hidden="false" customHeight="false" outlineLevel="0" collapsed="false">
      <c r="A37" s="4" t="s">
        <v>45</v>
      </c>
      <c r="B37" s="6" t="n">
        <f aca="false">N25+N26+N27+N28</f>
        <v>87450</v>
      </c>
    </row>
    <row r="38" customFormat="false" ht="15" hidden="false" customHeight="false" outlineLevel="0" collapsed="false">
      <c r="A38" s="4" t="s">
        <v>46</v>
      </c>
      <c r="B38" s="6" t="n">
        <f aca="false">B7</f>
        <v>95238.0952380952</v>
      </c>
    </row>
    <row r="39" customFormat="false" ht="15" hidden="false" customHeight="false" outlineLevel="0" collapsed="false">
      <c r="A39" s="4" t="s">
        <v>47</v>
      </c>
      <c r="B39" s="6" t="n">
        <f aca="false">B7-B37</f>
        <v>7788.09523809524</v>
      </c>
    </row>
    <row r="40" customFormat="false" ht="15" hidden="false" customHeight="false" outlineLevel="0" collapsed="false">
      <c r="A40" s="4" t="s">
        <v>48</v>
      </c>
      <c r="B40" s="6" t="n">
        <f aca="false">B9</f>
        <v>100000</v>
      </c>
    </row>
    <row r="41" customFormat="false" ht="15" hidden="false" customHeight="false" outlineLevel="0" collapsed="false">
      <c r="A41" s="4" t="s">
        <v>49</v>
      </c>
      <c r="B41" s="6" t="n">
        <f aca="false">B9-B37</f>
        <v>12550</v>
      </c>
    </row>
    <row r="42" customFormat="false" ht="15" hidden="false" customHeight="false" outlineLevel="0" collapsed="false">
      <c r="A42" s="4" t="s">
        <v>50</v>
      </c>
      <c r="B42" s="6" t="n">
        <f aca="false">B25+C26+C27+C28</f>
        <v>22110</v>
      </c>
    </row>
    <row r="43" customFormat="false" ht="15" hidden="false" customHeight="false" outlineLevel="0" collapsed="false">
      <c r="A43" s="4" t="s">
        <v>51</v>
      </c>
      <c r="B43" s="6" t="n">
        <f aca="false">B37-B42</f>
        <v>65340</v>
      </c>
    </row>
    <row r="44" customFormat="false" ht="15" hidden="false" customHeight="false" outlineLevel="0" collapsed="false">
      <c r="A44" s="4" t="s">
        <v>52</v>
      </c>
      <c r="B44" s="6" t="n">
        <f aca="false">B42+D26+D27+D28</f>
        <v>52480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55</v>
      </c>
      <c r="B5" s="8" t="n">
        <v>30</v>
      </c>
    </row>
    <row r="6" customFormat="false" ht="15" hidden="false" customHeight="false" outlineLevel="0" collapsed="false">
      <c r="A6" s="4" t="s">
        <v>56</v>
      </c>
      <c r="B6" s="8" t="n">
        <v>20</v>
      </c>
    </row>
    <row r="7" customFormat="false" ht="15" hidden="false" customHeight="false" outlineLevel="0" collapsed="false">
      <c r="A7" s="4" t="s">
        <v>57</v>
      </c>
      <c r="B7" s="16" t="n">
        <v>0.75</v>
      </c>
    </row>
    <row r="8" customFormat="false" ht="15" hidden="false" customHeight="false" outlineLevel="0" collapsed="false">
      <c r="A8" s="4" t="s">
        <v>58</v>
      </c>
      <c r="B8" s="7" t="n">
        <v>0.515</v>
      </c>
    </row>
    <row r="9" customFormat="false" ht="15" hidden="false" customHeight="false" outlineLevel="0" collapsed="false">
      <c r="A9" s="4" t="s">
        <v>59</v>
      </c>
      <c r="B9" s="7" t="n">
        <v>0.28</v>
      </c>
    </row>
    <row r="10" customFormat="false" ht="15" hidden="false" customHeight="false" outlineLevel="0" collapsed="false">
      <c r="A10" s="4" t="s">
        <v>60</v>
      </c>
      <c r="B10" s="7" t="n">
        <v>0.39</v>
      </c>
    </row>
    <row r="11" customFormat="false" ht="15" hidden="false" customHeight="false" outlineLevel="0" collapsed="false">
      <c r="A11" s="4" t="s">
        <v>61</v>
      </c>
      <c r="B11" s="17" t="n">
        <f aca="false">'Cost Forecast'!H31</f>
        <v>14714</v>
      </c>
    </row>
    <row r="13" customFormat="false" ht="15" hidden="false" customHeight="false" outlineLevel="0" collapsed="false">
      <c r="A13" s="18" t="s">
        <v>62</v>
      </c>
      <c r="B13" s="19"/>
      <c r="C13" s="19"/>
      <c r="D13" s="19"/>
      <c r="E13" s="19"/>
    </row>
    <row r="14" customFormat="false" ht="15" hidden="false" customHeight="false" outlineLevel="0" collapsed="false">
      <c r="A14" s="9" t="s">
        <v>63</v>
      </c>
      <c r="B14" s="10" t="s">
        <v>64</v>
      </c>
      <c r="C14" s="10" t="s">
        <v>65</v>
      </c>
      <c r="D14" s="10" t="s">
        <v>66</v>
      </c>
      <c r="E14" s="10" t="s">
        <v>67</v>
      </c>
    </row>
    <row r="15" customFormat="false" ht="15" hidden="false" customHeight="false" outlineLevel="0" collapsed="false">
      <c r="A15" s="3" t="s">
        <v>68</v>
      </c>
      <c r="B15" s="20" t="n">
        <f aca="false">SUM(B31:E31)</f>
        <v>-74620</v>
      </c>
      <c r="C15" s="20" t="n">
        <f aca="false">F31</f>
        <v>5610.7</v>
      </c>
      <c r="D15" s="20" t="n">
        <f aca="false">H31</f>
        <v>210.700000000003</v>
      </c>
      <c r="E15" s="20" t="n">
        <f aca="false">G32</f>
        <v>-63398.6</v>
      </c>
    </row>
    <row r="16" customFormat="false" ht="15" hidden="false" customHeight="false" outlineLevel="0" collapsed="false">
      <c r="A16" s="3" t="s">
        <v>69</v>
      </c>
      <c r="B16" s="20" t="n">
        <f aca="false">SUM(B40:E40)</f>
        <v>-69946.375</v>
      </c>
      <c r="C16" s="20" t="n">
        <f aca="false">F40</f>
        <v>11473.975</v>
      </c>
      <c r="D16" s="20" t="n">
        <f aca="false">H40</f>
        <v>6073.975</v>
      </c>
      <c r="E16" s="20" t="n">
        <f aca="false">G41</f>
        <v>-46998.425</v>
      </c>
    </row>
    <row r="18" customFormat="false" ht="15" hidden="false" customHeight="false" outlineLevel="0" collapsed="false">
      <c r="A18" s="2" t="s">
        <v>70</v>
      </c>
      <c r="B18" s="2"/>
      <c r="C18" s="2"/>
      <c r="D18" s="2"/>
      <c r="E18" s="2"/>
      <c r="F18" s="2"/>
      <c r="G18" s="2"/>
      <c r="H18" s="2"/>
    </row>
    <row r="20" customFormat="false" ht="15" hidden="false" customHeight="false" outlineLevel="0" collapsed="false">
      <c r="A20" s="9" t="s">
        <v>71</v>
      </c>
      <c r="B20" s="10" t="s">
        <v>72</v>
      </c>
      <c r="C20" s="10" t="s">
        <v>73</v>
      </c>
      <c r="D20" s="10" t="s">
        <v>74</v>
      </c>
      <c r="E20" s="10" t="s">
        <v>75</v>
      </c>
      <c r="F20" s="10" t="s">
        <v>13</v>
      </c>
      <c r="G20" s="10" t="s">
        <v>14</v>
      </c>
      <c r="H20" s="10" t="s">
        <v>76</v>
      </c>
    </row>
    <row r="21" customFormat="false" ht="15" hidden="false" customHeight="false" outlineLevel="0" collapsed="false">
      <c r="A21" s="4" t="s">
        <v>77</v>
      </c>
      <c r="B21" s="17" t="n">
        <f aca="false">'Cost Forecast'!B27</f>
        <v>0</v>
      </c>
      <c r="C21" s="17" t="n">
        <f aca="false">'Cost Forecast'!C27</f>
        <v>15000</v>
      </c>
      <c r="D21" s="17" t="n">
        <f aca="false">'Cost Forecast'!D27</f>
        <v>25000</v>
      </c>
      <c r="E21" s="17" t="n">
        <f aca="false">'Cost Forecast'!E27</f>
        <v>29000</v>
      </c>
      <c r="F21" s="17" t="n">
        <f aca="false">'Cost Forecast'!F27</f>
        <v>0</v>
      </c>
      <c r="G21" s="17" t="n">
        <f aca="false">'Cost Forecast'!G27</f>
        <v>0</v>
      </c>
      <c r="H21" s="17" t="n">
        <f aca="false">'Cost Forecast'!H27</f>
        <v>0</v>
      </c>
    </row>
    <row r="22" customFormat="false" ht="15" hidden="false" customHeight="false" outlineLevel="0" collapsed="false">
      <c r="A22" s="4" t="s">
        <v>78</v>
      </c>
      <c r="B22" s="21" t="n">
        <f aca="false">B21/$B$6</f>
        <v>0</v>
      </c>
      <c r="C22" s="21" t="n">
        <f aca="false">C21/$B$6</f>
        <v>750</v>
      </c>
      <c r="D22" s="21" t="n">
        <f aca="false">D21/$B$6</f>
        <v>1250</v>
      </c>
      <c r="E22" s="21" t="n">
        <f aca="false">E21/$B$6</f>
        <v>1450</v>
      </c>
      <c r="F22" s="21" t="n">
        <f aca="false">F21/$B$6</f>
        <v>0</v>
      </c>
      <c r="G22" s="21" t="n">
        <f aca="false">G21/$B$6</f>
        <v>0</v>
      </c>
      <c r="H22" s="21" t="n">
        <f aca="false">H21/$B$6</f>
        <v>0</v>
      </c>
    </row>
    <row r="23" customFormat="false" ht="15" hidden="false" customHeight="false" outlineLevel="0" collapsed="false">
      <c r="A23" s="4" t="s">
        <v>79</v>
      </c>
      <c r="B23" s="21" t="n">
        <f aca="false">B22</f>
        <v>0</v>
      </c>
      <c r="C23" s="21" t="n">
        <f aca="false">B23+C22</f>
        <v>750</v>
      </c>
      <c r="D23" s="21" t="n">
        <f aca="false">C23+D22</f>
        <v>2000</v>
      </c>
      <c r="E23" s="21" t="n">
        <f aca="false">D23+E22</f>
        <v>3450</v>
      </c>
      <c r="F23" s="21" t="n">
        <f aca="false">E23+F22</f>
        <v>3450</v>
      </c>
      <c r="G23" s="21" t="n">
        <f aca="false">F23+G22</f>
        <v>3450</v>
      </c>
      <c r="H23" s="21" t="n">
        <f aca="false">G23+H22</f>
        <v>3450</v>
      </c>
    </row>
    <row r="25" customFormat="false" ht="15" hidden="false" customHeight="false" outlineLevel="0" collapsed="false">
      <c r="A25" s="18" t="s">
        <v>80</v>
      </c>
      <c r="B25" s="19"/>
      <c r="C25" s="19"/>
      <c r="D25" s="19"/>
      <c r="E25" s="19"/>
      <c r="F25" s="19"/>
      <c r="G25" s="19"/>
      <c r="H25" s="19"/>
    </row>
    <row r="26" customFormat="false" ht="15" hidden="false" customHeight="false" outlineLevel="0" collapsed="false">
      <c r="A26" s="4" t="s">
        <v>81</v>
      </c>
      <c r="B26" s="21" t="n">
        <f aca="false">0</f>
        <v>0</v>
      </c>
      <c r="C26" s="21" t="n">
        <f aca="false">C22+$B$9*B23</f>
        <v>750</v>
      </c>
      <c r="D26" s="21" t="n">
        <f aca="false">D22+$B$9*C23</f>
        <v>1460</v>
      </c>
      <c r="E26" s="21" t="n">
        <f aca="false">E22+$B$9*D23</f>
        <v>2010</v>
      </c>
      <c r="F26" s="21" t="n">
        <f aca="false">$B$9*$E$23</f>
        <v>966</v>
      </c>
      <c r="G26" s="21" t="n">
        <f aca="false">$B$9*$E$23</f>
        <v>966</v>
      </c>
      <c r="H26" s="21" t="n">
        <f aca="false">$B$9*$E$23</f>
        <v>966</v>
      </c>
    </row>
    <row r="27" customFormat="false" ht="15" hidden="false" customHeight="false" outlineLevel="0" collapsed="false">
      <c r="A27" s="4" t="s">
        <v>82</v>
      </c>
      <c r="B27" s="6" t="n">
        <f aca="false">B26*$B$5</f>
        <v>0</v>
      </c>
      <c r="C27" s="6" t="n">
        <f aca="false">C26*$B$5</f>
        <v>22500</v>
      </c>
      <c r="D27" s="6" t="n">
        <f aca="false">D26*$B$5</f>
        <v>43800</v>
      </c>
      <c r="E27" s="6" t="n">
        <f aca="false">E26*$B$5</f>
        <v>60300</v>
      </c>
      <c r="F27" s="6" t="n">
        <f aca="false">F26*$B$5</f>
        <v>28980</v>
      </c>
      <c r="G27" s="6" t="n">
        <f aca="false">G26*$B$5</f>
        <v>28980</v>
      </c>
      <c r="H27" s="6" t="n">
        <f aca="false">H26*$B$5</f>
        <v>28980</v>
      </c>
    </row>
    <row r="28" customFormat="false" ht="15" hidden="false" customHeight="false" outlineLevel="0" collapsed="false">
      <c r="A28" s="4" t="s">
        <v>83</v>
      </c>
      <c r="B28" s="6" t="n">
        <f aca="false">B27*$B$7</f>
        <v>0</v>
      </c>
      <c r="C28" s="6" t="n">
        <f aca="false">C27*$B$7</f>
        <v>16875</v>
      </c>
      <c r="D28" s="6" t="n">
        <f aca="false">D27*$B$7</f>
        <v>32850</v>
      </c>
      <c r="E28" s="6" t="n">
        <f aca="false">E27*$B$7</f>
        <v>45225</v>
      </c>
      <c r="F28" s="6" t="n">
        <f aca="false">F27*$B$7</f>
        <v>21735</v>
      </c>
      <c r="G28" s="6" t="n">
        <f aca="false">G27*$B$7</f>
        <v>21735</v>
      </c>
      <c r="H28" s="6" t="n">
        <f aca="false">H27*$B$7</f>
        <v>21735</v>
      </c>
    </row>
    <row r="29" customFormat="false" ht="15" hidden="false" customHeight="false" outlineLevel="0" collapsed="false">
      <c r="A29" s="4" t="s">
        <v>84</v>
      </c>
      <c r="B29" s="6" t="n">
        <f aca="false">B27*$B$8</f>
        <v>0</v>
      </c>
      <c r="C29" s="6" t="n">
        <f aca="false">C27*$B$8</f>
        <v>11587.5</v>
      </c>
      <c r="D29" s="6" t="n">
        <f aca="false">D27*$B$8</f>
        <v>22557</v>
      </c>
      <c r="E29" s="6" t="n">
        <f aca="false">E27*$B$8</f>
        <v>31054.5</v>
      </c>
      <c r="F29" s="6" t="n">
        <f aca="false">F27*$B$8</f>
        <v>14924.7</v>
      </c>
      <c r="G29" s="6" t="n">
        <f aca="false">G27*$B$8</f>
        <v>14924.7</v>
      </c>
      <c r="H29" s="6" t="n">
        <f aca="false">H27*$B$8</f>
        <v>14924.7</v>
      </c>
    </row>
    <row r="30" customFormat="false" ht="15" hidden="false" customHeight="false" outlineLevel="0" collapsed="false">
      <c r="A30" s="4" t="s">
        <v>85</v>
      </c>
      <c r="B30" s="17" t="n">
        <f aca="false">'Cost Forecast'!B31</f>
        <v>27667</v>
      </c>
      <c r="C30" s="17" t="n">
        <f aca="false">'Cost Forecast'!C31</f>
        <v>28184</v>
      </c>
      <c r="D30" s="17" t="n">
        <f aca="false">'Cost Forecast'!D31</f>
        <v>39684</v>
      </c>
      <c r="E30" s="17" t="n">
        <f aca="false">'Cost Forecast'!E31</f>
        <v>44284</v>
      </c>
      <c r="F30" s="17" t="n">
        <f aca="false">'Cost Forecast'!F31</f>
        <v>9314</v>
      </c>
      <c r="G30" s="17" t="n">
        <f aca="false">'Cost Forecast'!G31</f>
        <v>9314</v>
      </c>
      <c r="H30" s="17" t="n">
        <f aca="false">'Cost Forecast'!H31</f>
        <v>14714</v>
      </c>
    </row>
    <row r="31" customFormat="false" ht="15" hidden="false" customHeight="false" outlineLevel="0" collapsed="false">
      <c r="A31" s="3" t="s">
        <v>86</v>
      </c>
      <c r="B31" s="20" t="n">
        <f aca="false">B29-B30</f>
        <v>-27667</v>
      </c>
      <c r="C31" s="20" t="n">
        <f aca="false">C29-C30</f>
        <v>-16596.5</v>
      </c>
      <c r="D31" s="20" t="n">
        <f aca="false">D29-D30</f>
        <v>-17127</v>
      </c>
      <c r="E31" s="20" t="n">
        <f aca="false">E29-E30</f>
        <v>-13229.5</v>
      </c>
      <c r="F31" s="20" t="n">
        <f aca="false">F29-F30</f>
        <v>5610.7</v>
      </c>
      <c r="G31" s="20" t="n">
        <f aca="false">G29-G30</f>
        <v>5610.7</v>
      </c>
      <c r="H31" s="20" t="n">
        <f aca="false">H29-H30</f>
        <v>210.700000000003</v>
      </c>
    </row>
    <row r="32" customFormat="false" ht="15" hidden="false" customHeight="false" outlineLevel="0" collapsed="false">
      <c r="A32" s="3" t="s">
        <v>87</v>
      </c>
      <c r="B32" s="22" t="n">
        <f aca="false">B31</f>
        <v>-27667</v>
      </c>
      <c r="C32" s="20" t="n">
        <f aca="false">B32+C31</f>
        <v>-44263.5</v>
      </c>
      <c r="D32" s="20" t="n">
        <f aca="false">C32+D31</f>
        <v>-61390.5</v>
      </c>
      <c r="E32" s="20" t="n">
        <f aca="false">D32+E31</f>
        <v>-74620</v>
      </c>
      <c r="F32" s="20" t="n">
        <f aca="false">E32+F31</f>
        <v>-69009.3</v>
      </c>
      <c r="G32" s="20" t="n">
        <f aca="false">F32+G31</f>
        <v>-63398.6</v>
      </c>
      <c r="H32" s="23" t="s">
        <v>88</v>
      </c>
    </row>
    <row r="34" customFormat="false" ht="15" hidden="false" customHeight="false" outlineLevel="0" collapsed="false">
      <c r="A34" s="18" t="s">
        <v>89</v>
      </c>
      <c r="B34" s="19"/>
      <c r="C34" s="19"/>
      <c r="D34" s="19"/>
      <c r="E34" s="19"/>
      <c r="F34" s="19"/>
      <c r="G34" s="19"/>
      <c r="H34" s="19"/>
    </row>
    <row r="35" customFormat="false" ht="15" hidden="false" customHeight="false" outlineLevel="0" collapsed="false">
      <c r="A35" s="4" t="s">
        <v>81</v>
      </c>
      <c r="B35" s="21" t="n">
        <f aca="false">0</f>
        <v>0</v>
      </c>
      <c r="C35" s="21" t="n">
        <f aca="false">C22+$B$10*B23</f>
        <v>750</v>
      </c>
      <c r="D35" s="21" t="n">
        <f aca="false">D22+$B$10*C23</f>
        <v>1542.5</v>
      </c>
      <c r="E35" s="21" t="n">
        <f aca="false">E22+$B$10*D23</f>
        <v>2230</v>
      </c>
      <c r="F35" s="21" t="n">
        <f aca="false">$B$10*$E$23</f>
        <v>1345.5</v>
      </c>
      <c r="G35" s="21" t="n">
        <f aca="false">$B$10*$E$23</f>
        <v>1345.5</v>
      </c>
      <c r="H35" s="21" t="n">
        <f aca="false">$B$10*$E$23</f>
        <v>1345.5</v>
      </c>
    </row>
    <row r="36" customFormat="false" ht="15" hidden="false" customHeight="false" outlineLevel="0" collapsed="false">
      <c r="A36" s="4" t="s">
        <v>82</v>
      </c>
      <c r="B36" s="6" t="n">
        <f aca="false">B35*$B$5</f>
        <v>0</v>
      </c>
      <c r="C36" s="6" t="n">
        <f aca="false">C35*$B$5</f>
        <v>22500</v>
      </c>
      <c r="D36" s="6" t="n">
        <f aca="false">D35*$B$5</f>
        <v>46275</v>
      </c>
      <c r="E36" s="6" t="n">
        <f aca="false">E35*$B$5</f>
        <v>66900</v>
      </c>
      <c r="F36" s="6" t="n">
        <f aca="false">F35*$B$5</f>
        <v>40365</v>
      </c>
      <c r="G36" s="6" t="n">
        <f aca="false">G35*$B$5</f>
        <v>40365</v>
      </c>
      <c r="H36" s="6" t="n">
        <f aca="false">H35*$B$5</f>
        <v>40365</v>
      </c>
    </row>
    <row r="37" customFormat="false" ht="15" hidden="false" customHeight="false" outlineLevel="0" collapsed="false">
      <c r="A37" s="4" t="s">
        <v>83</v>
      </c>
      <c r="B37" s="6" t="n">
        <f aca="false">B36*$B$7</f>
        <v>0</v>
      </c>
      <c r="C37" s="6" t="n">
        <f aca="false">C36*$B$7</f>
        <v>16875</v>
      </c>
      <c r="D37" s="6" t="n">
        <f aca="false">D36*$B$7</f>
        <v>34706.25</v>
      </c>
      <c r="E37" s="6" t="n">
        <f aca="false">E36*$B$7</f>
        <v>50175</v>
      </c>
      <c r="F37" s="6" t="n">
        <f aca="false">F36*$B$7</f>
        <v>30273.75</v>
      </c>
      <c r="G37" s="6" t="n">
        <f aca="false">G36*$B$7</f>
        <v>30273.75</v>
      </c>
      <c r="H37" s="6" t="n">
        <f aca="false">H36*$B$7</f>
        <v>30273.75</v>
      </c>
    </row>
    <row r="38" customFormat="false" ht="15" hidden="false" customHeight="false" outlineLevel="0" collapsed="false">
      <c r="A38" s="4" t="s">
        <v>84</v>
      </c>
      <c r="B38" s="6" t="n">
        <f aca="false">B36*$B$8</f>
        <v>0</v>
      </c>
      <c r="C38" s="6" t="n">
        <f aca="false">C36*$B$8</f>
        <v>11587.5</v>
      </c>
      <c r="D38" s="6" t="n">
        <f aca="false">D36*$B$8</f>
        <v>23831.625</v>
      </c>
      <c r="E38" s="6" t="n">
        <f aca="false">E36*$B$8</f>
        <v>34453.5</v>
      </c>
      <c r="F38" s="6" t="n">
        <f aca="false">F36*$B$8</f>
        <v>20787.975</v>
      </c>
      <c r="G38" s="6" t="n">
        <f aca="false">G36*$B$8</f>
        <v>20787.975</v>
      </c>
      <c r="H38" s="6" t="n">
        <f aca="false">H36*$B$8</f>
        <v>20787.975</v>
      </c>
    </row>
    <row r="39" customFormat="false" ht="15" hidden="false" customHeight="false" outlineLevel="0" collapsed="false">
      <c r="A39" s="4" t="s">
        <v>85</v>
      </c>
      <c r="B39" s="17" t="n">
        <f aca="false">'Cost Forecast'!B31</f>
        <v>27667</v>
      </c>
      <c r="C39" s="17" t="n">
        <f aca="false">'Cost Forecast'!C31</f>
        <v>28184</v>
      </c>
      <c r="D39" s="17" t="n">
        <f aca="false">'Cost Forecast'!D31</f>
        <v>39684</v>
      </c>
      <c r="E39" s="17" t="n">
        <f aca="false">'Cost Forecast'!E31</f>
        <v>44284</v>
      </c>
      <c r="F39" s="17" t="n">
        <f aca="false">'Cost Forecast'!F31</f>
        <v>9314</v>
      </c>
      <c r="G39" s="17" t="n">
        <f aca="false">'Cost Forecast'!G31</f>
        <v>9314</v>
      </c>
      <c r="H39" s="17" t="n">
        <f aca="false">'Cost Forecast'!H31</f>
        <v>14714</v>
      </c>
    </row>
    <row r="40" customFormat="false" ht="15" hidden="false" customHeight="false" outlineLevel="0" collapsed="false">
      <c r="A40" s="3" t="s">
        <v>86</v>
      </c>
      <c r="B40" s="20" t="n">
        <f aca="false">B38-B39</f>
        <v>-27667</v>
      </c>
      <c r="C40" s="20" t="n">
        <f aca="false">C38-C39</f>
        <v>-16596.5</v>
      </c>
      <c r="D40" s="20" t="n">
        <f aca="false">D38-D39</f>
        <v>-15852.375</v>
      </c>
      <c r="E40" s="20" t="n">
        <f aca="false">E38-E39</f>
        <v>-9830.5</v>
      </c>
      <c r="F40" s="20" t="n">
        <f aca="false">F38-F39</f>
        <v>11473.975</v>
      </c>
      <c r="G40" s="20" t="n">
        <f aca="false">G38-G39</f>
        <v>11473.975</v>
      </c>
      <c r="H40" s="20" t="n">
        <f aca="false">H38-H39</f>
        <v>6073.975</v>
      </c>
    </row>
    <row r="41" customFormat="false" ht="15" hidden="false" customHeight="false" outlineLevel="0" collapsed="false">
      <c r="A41" s="3" t="s">
        <v>87</v>
      </c>
      <c r="B41" s="22" t="n">
        <f aca="false">B40</f>
        <v>-27667</v>
      </c>
      <c r="C41" s="20" t="n">
        <f aca="false">B41+C40</f>
        <v>-44263.5</v>
      </c>
      <c r="D41" s="20" t="n">
        <f aca="false">C41+D40</f>
        <v>-60115.875</v>
      </c>
      <c r="E41" s="20" t="n">
        <f aca="false">D41+E40</f>
        <v>-69946.375</v>
      </c>
      <c r="F41" s="20" t="n">
        <f aca="false">E41+F40</f>
        <v>-58472.4</v>
      </c>
      <c r="G41" s="20" t="n">
        <f aca="false">F41+G40</f>
        <v>-46998.425</v>
      </c>
      <c r="H41" s="23" t="s">
        <v>88</v>
      </c>
    </row>
    <row r="44" customFormat="false" ht="15" hidden="false" customHeight="false" outlineLevel="0" collapsed="false">
      <c r="A44" s="3" t="s">
        <v>90</v>
      </c>
    </row>
    <row r="45" customFormat="false" ht="15" hidden="false" customHeight="false" outlineLevel="0" collapsed="false">
      <c r="A45" s="24" t="s">
        <v>91</v>
      </c>
      <c r="B45" s="24" t="s">
        <v>92</v>
      </c>
      <c r="C45" s="24" t="s">
        <v>93</v>
      </c>
      <c r="D45" s="24" t="s">
        <v>94</v>
      </c>
      <c r="E45" s="24" t="s">
        <v>95</v>
      </c>
      <c r="F45" s="24" t="s">
        <v>96</v>
      </c>
    </row>
    <row r="46" customFormat="false" ht="15" hidden="false" customHeight="false" outlineLevel="0" collapsed="false">
      <c r="A46" s="16" t="n">
        <v>0.15</v>
      </c>
      <c r="B46" s="21" t="n">
        <f aca="false">A46*$E$23</f>
        <v>517.5</v>
      </c>
      <c r="C46" s="6" t="n">
        <f aca="false">B46*$B$5</f>
        <v>15525</v>
      </c>
      <c r="D46" s="6" t="n">
        <f aca="false">C46*$B$8</f>
        <v>7995.375</v>
      </c>
      <c r="E46" s="25" t="n">
        <f aca="false">D46-$B$11</f>
        <v>-6718.625</v>
      </c>
      <c r="F46" s="4" t="s">
        <v>97</v>
      </c>
    </row>
    <row r="47" customFormat="false" ht="15" hidden="false" customHeight="false" outlineLevel="0" collapsed="false">
      <c r="A47" s="16" t="n">
        <v>0.25</v>
      </c>
      <c r="B47" s="21" t="n">
        <f aca="false">A47*$E$23</f>
        <v>862.5</v>
      </c>
      <c r="C47" s="6" t="n">
        <f aca="false">B47*$B$5</f>
        <v>25875</v>
      </c>
      <c r="D47" s="6" t="n">
        <f aca="false">C47*$B$8</f>
        <v>13325.625</v>
      </c>
      <c r="E47" s="25" t="n">
        <f aca="false">D47-$B$11</f>
        <v>-1388.375</v>
      </c>
      <c r="F47" s="4" t="s">
        <v>98</v>
      </c>
    </row>
    <row r="48" customFormat="false" ht="15" hidden="false" customHeight="false" outlineLevel="0" collapsed="false">
      <c r="A48" s="16" t="n">
        <v>0.28</v>
      </c>
      <c r="B48" s="21" t="n">
        <f aca="false">A48*$E$23</f>
        <v>966</v>
      </c>
      <c r="C48" s="6" t="n">
        <f aca="false">B48*$B$5</f>
        <v>28980</v>
      </c>
      <c r="D48" s="6" t="n">
        <f aca="false">C48*$B$8</f>
        <v>14924.7</v>
      </c>
      <c r="E48" s="25" t="n">
        <f aca="false">D48-$B$11</f>
        <v>210.700000000003</v>
      </c>
      <c r="F48" s="4" t="s">
        <v>99</v>
      </c>
    </row>
    <row r="49" customFormat="false" ht="15" hidden="false" customHeight="false" outlineLevel="0" collapsed="false">
      <c r="A49" s="16" t="n">
        <v>0.39</v>
      </c>
      <c r="B49" s="21" t="n">
        <f aca="false">A49*$E$23</f>
        <v>1345.5</v>
      </c>
      <c r="C49" s="6" t="n">
        <f aca="false">B49*$B$5</f>
        <v>40365</v>
      </c>
      <c r="D49" s="6" t="n">
        <f aca="false">C49*$B$8</f>
        <v>20787.975</v>
      </c>
      <c r="E49" s="25" t="n">
        <f aca="false">D49-$B$11</f>
        <v>6073.975</v>
      </c>
      <c r="F49" s="4" t="s">
        <v>100</v>
      </c>
    </row>
    <row r="52" customFormat="false" ht="15" hidden="false" customHeight="false" outlineLevel="0" collapsed="false">
      <c r="A52" s="3" t="s">
        <v>101</v>
      </c>
      <c r="B52" s="6" t="n">
        <f aca="false">B11/B8</f>
        <v>28570.8737864078</v>
      </c>
    </row>
  </sheetData>
  <mergeCells count="3">
    <mergeCell ref="A1:H1"/>
    <mergeCell ref="A2:H2"/>
    <mergeCell ref="A18:H18"/>
  </mergeCells>
  <conditionalFormatting sqref="B31:H3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32:G32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B40:H40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B41:G41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B15:E16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E46:E49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2026-06-12T10:50:50Z</dcterms:created>
  <dc:creator>openpyxl</dc:creator>
  <dc:description/>
  <dc:language>en-US</dc:language>
  <cp:lastModifiedBy/>
  <dcterms:modified xsi:type="dcterms:W3CDTF">2026-06-12T10:50:50Z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